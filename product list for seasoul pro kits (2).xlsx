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07EDEAB-673A-455F-960E-1CF5E6BD1E82}" xr6:coauthVersionLast="47" xr6:coauthVersionMax="47" xr10:uidLastSave="{00000000-0000-0000-0000-000000000000}"/>
  <bookViews>
    <workbookView xWindow="-110" yWindow="-110" windowWidth="19420" windowHeight="10300" firstSheet="2" activeTab="2" xr2:uid="{4C00E5A3-34F3-B84C-9879-1B857E1649B9}"/>
  </bookViews>
  <sheets>
    <sheet name="Prd Code" sheetId="2" r:id="rId1"/>
    <sheet name="Sachet" sheetId="7" r:id="rId2"/>
    <sheet name="Blister" sheetId="8" r:id="rId3"/>
    <sheet name="packaging" sheetId="9" r:id="rId4"/>
    <sheet name="RM" sheetId="5" r:id="rId5"/>
    <sheet name="Adv Kor" sheetId="1" r:id="rId6"/>
    <sheet name="Ete Bride" sheetId="3" r:id="rId7"/>
    <sheet name="Wed Glow" sheetId="4" r:id="rId8"/>
  </sheets>
  <definedNames>
    <definedName name="_xlnm._FilterDatabase" localSheetId="1" hidden="1">Sachet!$A$1:$E$1</definedName>
    <definedName name="_xlnm._FilterDatabase" localSheetId="0" hidden="1">'Prd Code'!$A$1:$G$1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9" l="1"/>
  <c r="C3" i="5"/>
  <c r="C4" i="5"/>
  <c r="C5" i="5"/>
  <c r="C6" i="5"/>
  <c r="C7" i="5"/>
  <c r="C8" i="5"/>
  <c r="C2" i="5"/>
  <c r="D8" i="5"/>
  <c r="D7" i="5"/>
  <c r="D6" i="5"/>
  <c r="D5" i="5"/>
  <c r="A22" i="3"/>
  <c r="A21" i="3"/>
  <c r="A20" i="3"/>
  <c r="A19" i="3"/>
  <c r="A16" i="3"/>
  <c r="A17" i="3"/>
  <c r="A18" i="3"/>
  <c r="A15" i="3"/>
  <c r="A14" i="3"/>
  <c r="A13" i="3"/>
  <c r="A12" i="3"/>
  <c r="A8" i="3"/>
  <c r="A7" i="3"/>
  <c r="A6" i="3"/>
  <c r="A5" i="3"/>
  <c r="A4" i="3"/>
  <c r="A3" i="3"/>
  <c r="A9" i="3"/>
  <c r="A10" i="3"/>
  <c r="A11" i="3"/>
  <c r="A3" i="4"/>
  <c r="F4" i="4"/>
  <c r="F51" i="2" s="1"/>
  <c r="F5" i="4"/>
  <c r="F6" i="4"/>
  <c r="F7" i="4"/>
  <c r="F52" i="2" s="1"/>
  <c r="F8" i="4"/>
  <c r="F53" i="2" s="1"/>
  <c r="F9" i="4"/>
  <c r="F2" i="2" s="1"/>
  <c r="F10" i="4"/>
  <c r="F11" i="4"/>
  <c r="F12" i="4"/>
  <c r="F13" i="4"/>
  <c r="F14" i="4"/>
  <c r="F15" i="4"/>
  <c r="F16" i="4"/>
  <c r="F17" i="4"/>
  <c r="F16" i="2" s="1"/>
  <c r="F18" i="4"/>
  <c r="F10" i="2" s="1"/>
  <c r="F19" i="4"/>
  <c r="F3" i="4"/>
  <c r="F17" i="2" s="1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F4" i="3"/>
  <c r="F46" i="2" s="1"/>
  <c r="F5" i="3"/>
  <c r="F47" i="2" s="1"/>
  <c r="F6" i="3"/>
  <c r="F7" i="3"/>
  <c r="F6" i="2" s="1"/>
  <c r="F8" i="3"/>
  <c r="F48" i="2" s="1"/>
  <c r="F9" i="3"/>
  <c r="F49" i="2" s="1"/>
  <c r="F10" i="3"/>
  <c r="F28" i="2" s="1"/>
  <c r="F11" i="3"/>
  <c r="F50" i="2" s="1"/>
  <c r="F12" i="3"/>
  <c r="F4" i="2" s="1"/>
  <c r="F13" i="3"/>
  <c r="F14" i="3"/>
  <c r="F15" i="3"/>
  <c r="F16" i="3"/>
  <c r="F17" i="3"/>
  <c r="F18" i="3"/>
  <c r="F19" i="3"/>
  <c r="F20" i="3"/>
  <c r="F15" i="2" s="1"/>
  <c r="F21" i="3"/>
  <c r="F22" i="3"/>
  <c r="F9" i="2" s="1"/>
  <c r="F3" i="3"/>
  <c r="F45" i="2" s="1"/>
  <c r="F4" i="1"/>
  <c r="F39" i="2" s="1"/>
  <c r="F5" i="1"/>
  <c r="F40" i="2" s="1"/>
  <c r="F6" i="1"/>
  <c r="F41" i="2" s="1"/>
  <c r="F7" i="1"/>
  <c r="F42" i="2" s="1"/>
  <c r="F9" i="1"/>
  <c r="F7" i="2" s="1"/>
  <c r="F10" i="1"/>
  <c r="F43" i="2" s="1"/>
  <c r="F11" i="1"/>
  <c r="F44" i="2" s="1"/>
  <c r="F12" i="1"/>
  <c r="F3" i="2" s="1"/>
  <c r="F13" i="1"/>
  <c r="F14" i="1"/>
  <c r="F29" i="2" s="1"/>
  <c r="F15" i="1"/>
  <c r="F31" i="2" s="1"/>
  <c r="F16" i="1"/>
  <c r="F32" i="2" s="1"/>
  <c r="F17" i="1"/>
  <c r="F33" i="2" s="1"/>
  <c r="F18" i="1"/>
  <c r="F34" i="2" s="1"/>
  <c r="F19" i="1"/>
  <c r="F30" i="2" s="1"/>
  <c r="F20" i="1"/>
  <c r="F14" i="2" s="1"/>
  <c r="F21" i="1"/>
  <c r="F11" i="2" s="1"/>
  <c r="F22" i="1"/>
  <c r="F3" i="1"/>
  <c r="F38" i="2" s="1"/>
  <c r="A22" i="1"/>
  <c r="A21" i="1"/>
  <c r="A20" i="1"/>
  <c r="A19" i="1"/>
  <c r="A14" i="1"/>
  <c r="A15" i="1"/>
  <c r="A16" i="1"/>
  <c r="A17" i="1"/>
  <c r="A18" i="1"/>
  <c r="A3" i="1"/>
  <c r="A4" i="1"/>
  <c r="A5" i="1"/>
  <c r="A6" i="1"/>
  <c r="A7" i="1"/>
  <c r="A13" i="1"/>
  <c r="A12" i="1"/>
  <c r="A11" i="1"/>
  <c r="A10" i="1"/>
  <c r="A9" i="1"/>
  <c r="A8" i="1"/>
  <c r="F8" i="2" l="1"/>
</calcChain>
</file>

<file path=xl/sharedStrings.xml><?xml version="1.0" encoding="utf-8"?>
<sst xmlns="http://schemas.openxmlformats.org/spreadsheetml/2006/main" count="1177" uniqueCount="715">
  <si>
    <t>Prd Code</t>
  </si>
  <si>
    <t>Product Name</t>
  </si>
  <si>
    <t>size</t>
  </si>
  <si>
    <t>Material</t>
  </si>
  <si>
    <t>Aug stock</t>
  </si>
  <si>
    <t>left stock</t>
  </si>
  <si>
    <t>Kit name</t>
  </si>
  <si>
    <t>PM-00701</t>
  </si>
  <si>
    <t>SeaSoul Niacinamide Dual Serum</t>
  </si>
  <si>
    <t>1 gm</t>
  </si>
  <si>
    <t>Amp</t>
  </si>
  <si>
    <t>PM-00702</t>
  </si>
  <si>
    <t>95% Pure Hyaluronic Exosome Shot</t>
  </si>
  <si>
    <t>PM-00703</t>
  </si>
  <si>
    <t>99% Pure Vitamin C Exosome Shot Serum</t>
  </si>
  <si>
    <t>PM-00704</t>
  </si>
  <si>
    <t>SeaSoul Retinol Dual Serum</t>
  </si>
  <si>
    <t>PM-00705</t>
  </si>
  <si>
    <t>lip lightening peel</t>
  </si>
  <si>
    <t>1 ml</t>
  </si>
  <si>
    <t>PM-00706</t>
  </si>
  <si>
    <t>depigmentation eye gel</t>
  </si>
  <si>
    <t>1ml</t>
  </si>
  <si>
    <t>PM-00707</t>
  </si>
  <si>
    <t>Vitamin C Whitening Cream with SPF 50</t>
  </si>
  <si>
    <t>PM-00708</t>
  </si>
  <si>
    <t>SeaSoul SFP 30 Cica Gel</t>
  </si>
  <si>
    <t>PM-00709</t>
  </si>
  <si>
    <t>Dead Sea Face Moisturiser</t>
  </si>
  <si>
    <t>2 ml</t>
  </si>
  <si>
    <t>PM-00710</t>
  </si>
  <si>
    <t>Dead Sea Oil Free Hydrator</t>
  </si>
  <si>
    <t>PM-00711</t>
  </si>
  <si>
    <t>Dead Sea Anti Ageing Cream</t>
  </si>
  <si>
    <t>PM-00712</t>
  </si>
  <si>
    <t>Dead Sea Clarifying Serum</t>
  </si>
  <si>
    <t>PM-00713</t>
  </si>
  <si>
    <t>Dead Sea Ultra Hydrating Serum</t>
  </si>
  <si>
    <t>PM-00714</t>
  </si>
  <si>
    <t>Dead Sea Pore Minimising Serum</t>
  </si>
  <si>
    <t>PM-00715</t>
  </si>
  <si>
    <t>Dead Sea Depigmentation Serum</t>
  </si>
  <si>
    <t>PM-00716</t>
  </si>
  <si>
    <t>Butter Cream Powder-white- Anti Tan, niacinamide</t>
  </si>
  <si>
    <t>PM-00717</t>
  </si>
  <si>
    <t>Butter Cream Powder-blue-hyaluronic</t>
  </si>
  <si>
    <t>PM-00718</t>
  </si>
  <si>
    <t>Butter Cream Powder-yellow-vitaminC</t>
  </si>
  <si>
    <t>PM-00719</t>
  </si>
  <si>
    <t>PHA Activation Peel</t>
  </si>
  <si>
    <t xml:space="preserve">2ml </t>
  </si>
  <si>
    <t>bottle</t>
  </si>
  <si>
    <t>PM-00720</t>
  </si>
  <si>
    <t>Vit C + CICA Peel</t>
  </si>
  <si>
    <t>PM-00721</t>
  </si>
  <si>
    <t>AHA + BHA + PHA Peel</t>
  </si>
  <si>
    <t>PM-00722</t>
  </si>
  <si>
    <t>PHA Derma Peel</t>
  </si>
  <si>
    <t>PM-00723</t>
  </si>
  <si>
    <t>Alpha Beta Activation Peel</t>
  </si>
  <si>
    <t>PM-00724</t>
  </si>
  <si>
    <t>AHA DNA Peel</t>
  </si>
  <si>
    <t>PM-00725</t>
  </si>
  <si>
    <t>Korean Glass Pore minimising Serum</t>
  </si>
  <si>
    <t>PM-00726</t>
  </si>
  <si>
    <t>Brightening AHA Peel</t>
  </si>
  <si>
    <t>4 ml</t>
  </si>
  <si>
    <t>PM-00727</t>
  </si>
  <si>
    <t>Dissolve Mask Spray</t>
  </si>
  <si>
    <t>10 ml</t>
  </si>
  <si>
    <t>PM-00728</t>
  </si>
  <si>
    <t>Blackhead Remover Serum</t>
  </si>
  <si>
    <t>PM-00729</t>
  </si>
  <si>
    <t>Dead Sea pH Face Toner</t>
  </si>
  <si>
    <t>PM-00730</t>
  </si>
  <si>
    <t>spatula</t>
  </si>
  <si>
    <t>pc</t>
  </si>
  <si>
    <t>PM-00731</t>
  </si>
  <si>
    <t>mixing plate / measuring cup</t>
  </si>
  <si>
    <t>cup</t>
  </si>
  <si>
    <t>PM-00732</t>
  </si>
  <si>
    <t>derma plan tool</t>
  </si>
  <si>
    <t>tool</t>
  </si>
  <si>
    <t>PM-00733</t>
  </si>
  <si>
    <t>alcohol swabs</t>
  </si>
  <si>
    <t>sachet</t>
  </si>
  <si>
    <t>PM-00734</t>
  </si>
  <si>
    <t>silk sheet Mask</t>
  </si>
  <si>
    <t>sheet</t>
  </si>
  <si>
    <t>PM-00735</t>
  </si>
  <si>
    <t>Dissolve collagen Mask blue sheet</t>
  </si>
  <si>
    <t>blue sheet</t>
  </si>
  <si>
    <t>PM-00736</t>
  </si>
  <si>
    <t>Glass Mask paper sheet</t>
  </si>
  <si>
    <t>white thick sheet</t>
  </si>
  <si>
    <t>PM-00390</t>
  </si>
  <si>
    <t>Korean Foaming Oil Cleanser</t>
  </si>
  <si>
    <t>5 ml</t>
  </si>
  <si>
    <t>80 x 80</t>
  </si>
  <si>
    <t>PM-00391</t>
  </si>
  <si>
    <t>PDRN Gel Cleanser</t>
  </si>
  <si>
    <t>PM-00392</t>
  </si>
  <si>
    <t>Korean Collagen Glass Glow Peel Disc</t>
  </si>
  <si>
    <t>PM-00393</t>
  </si>
  <si>
    <t>Korean Glass Glow Mixing Serum</t>
  </si>
  <si>
    <t>8 ml</t>
  </si>
  <si>
    <t>PM-00394</t>
  </si>
  <si>
    <t>Korean Skin Lightening Scrub</t>
  </si>
  <si>
    <t>10 gm</t>
  </si>
  <si>
    <t>PM-00395</t>
  </si>
  <si>
    <t>PDRN Massage Gel Crème</t>
  </si>
  <si>
    <t>PM-00413</t>
  </si>
  <si>
    <t>Hydra Glow PDRN Glass Mask</t>
  </si>
  <si>
    <t>120 x 120</t>
  </si>
  <si>
    <t>PM-00398</t>
  </si>
  <si>
    <t>Vitamin C Foaming Oil Cleanser</t>
  </si>
  <si>
    <t>PM-00399</t>
  </si>
  <si>
    <t>Vitamin C gel cleanser</t>
  </si>
  <si>
    <t>5ml</t>
  </si>
  <si>
    <t>PM-00400</t>
  </si>
  <si>
    <t>Vatna skin brightening Scrub</t>
  </si>
  <si>
    <t>PM-00401</t>
  </si>
  <si>
    <t>Vitamin C Squalene Massage Cream</t>
  </si>
  <si>
    <t>PM-00414</t>
  </si>
  <si>
    <t xml:space="preserve">Collagen dissolve mask sheet + spray </t>
  </si>
  <si>
    <t>PM-00415</t>
  </si>
  <si>
    <t>Ultra Brightening Rose Petal Jelly Mask</t>
  </si>
  <si>
    <t>40 gm</t>
  </si>
  <si>
    <t>PM-00396</t>
  </si>
  <si>
    <t>Ubtan skin brightening Scrub</t>
  </si>
  <si>
    <t>PM-00397</t>
  </si>
  <si>
    <t>Niacinamide Squalene Massage Cream</t>
  </si>
  <si>
    <t>PM-00417</t>
  </si>
  <si>
    <t>Ultra Lightening Orange Peel Jelly Mask</t>
  </si>
  <si>
    <t>PM-00737</t>
  </si>
  <si>
    <t>D/Tan Hydra Pre Mask</t>
  </si>
  <si>
    <t>Cryo</t>
  </si>
  <si>
    <t>PM-00738</t>
  </si>
  <si>
    <t>Skin Lightening Americano Cream Scrub</t>
  </si>
  <si>
    <t xml:space="preserve">8 ml </t>
  </si>
  <si>
    <t>PM-00739</t>
  </si>
  <si>
    <t>Exosomes CRYO massage cream</t>
  </si>
  <si>
    <t xml:space="preserve">10 ml </t>
  </si>
  <si>
    <t>PM-00740</t>
  </si>
  <si>
    <t>Exosomes Niacinamide Gel Peel Off Mask</t>
  </si>
  <si>
    <t>PM-00741</t>
  </si>
  <si>
    <t>CRYO Geothermal Mask</t>
  </si>
  <si>
    <t>PM-00742</t>
  </si>
  <si>
    <t>Exosomes Vit C Gel Peel Off Mask</t>
  </si>
  <si>
    <t>PM-00743</t>
  </si>
  <si>
    <t>Exosomes Collagen Gel Peel Off Mask</t>
  </si>
  <si>
    <t>PM-00744</t>
  </si>
  <si>
    <t>Skin Lightening Whipping Scrub</t>
  </si>
  <si>
    <t>Derma</t>
  </si>
  <si>
    <t>PM-00745</t>
  </si>
  <si>
    <t>Polyglutamine Facial Massage Cream</t>
  </si>
  <si>
    <t>PM-00746</t>
  </si>
  <si>
    <t>Hyaluronic Gel Peel Off Mask</t>
  </si>
  <si>
    <t>PM-00747</t>
  </si>
  <si>
    <t>Korean CICA Peel Off Mask</t>
  </si>
  <si>
    <t>PM-00748</t>
  </si>
  <si>
    <t>Charcoal Peel off Mask</t>
  </si>
  <si>
    <t>PM-00581</t>
  </si>
  <si>
    <t>Hyaluronic Face Cleanser</t>
  </si>
  <si>
    <t>PM-00583</t>
  </si>
  <si>
    <t>Salicylic Clarifying Cleanser</t>
  </si>
  <si>
    <t>PM-00585</t>
  </si>
  <si>
    <t>Dead Sea D/Tan Fairness Pre Mask</t>
  </si>
  <si>
    <t>PM-00587</t>
  </si>
  <si>
    <t>Exosomes Minerals Gel</t>
  </si>
  <si>
    <t>PM-00586</t>
  </si>
  <si>
    <t>3-in-1 Facial Polish with Exosomes</t>
  </si>
  <si>
    <t>8 gm</t>
  </si>
  <si>
    <t>PM-005282</t>
  </si>
  <si>
    <t>Deep Tissue Facial Massage Cream</t>
  </si>
  <si>
    <t>PM-00588</t>
  </si>
  <si>
    <t>Dead Sea - Hyaluronic - Exosomes Mud Mask</t>
  </si>
  <si>
    <t>PM-00584</t>
  </si>
  <si>
    <t>Hydrating Massage Gel</t>
  </si>
  <si>
    <t>PM-00589</t>
  </si>
  <si>
    <t>Dead Sea - Lactic - Noni Fruit Mud Mask</t>
  </si>
  <si>
    <t>PM-00590</t>
  </si>
  <si>
    <t xml:space="preserve">Dead Sea - Glycolic Exosomes Mud Mask </t>
  </si>
  <si>
    <t>PM-00591</t>
  </si>
  <si>
    <t xml:space="preserve">Dead Sea - Collagen - Exosomes Mud Mask </t>
  </si>
  <si>
    <t>PM-00570</t>
  </si>
  <si>
    <t>Moroccan Beldi soap cleaser</t>
  </si>
  <si>
    <t xml:space="preserve">5 gm </t>
  </si>
  <si>
    <t>PM-00573</t>
  </si>
  <si>
    <t>Moroccan Beldi detan cleaser</t>
  </si>
  <si>
    <t>PM-00575</t>
  </si>
  <si>
    <t>Moroccan Nila D/Tan Fairness Pre Mask</t>
  </si>
  <si>
    <t xml:space="preserve">8 gm </t>
  </si>
  <si>
    <t>PM-00576</t>
  </si>
  <si>
    <t>GOLD Fairness Gel</t>
  </si>
  <si>
    <t>PM-00577</t>
  </si>
  <si>
    <t>Rhassoul Clay Vit C Scrub</t>
  </si>
  <si>
    <t>PM-00572</t>
  </si>
  <si>
    <t>Nila Brightening Massage Cream</t>
  </si>
  <si>
    <t xml:space="preserve">10 gm </t>
  </si>
  <si>
    <t>PM-00578</t>
  </si>
  <si>
    <t>Hydrating GOLD Peel off Mask</t>
  </si>
  <si>
    <t>PM-00574</t>
  </si>
  <si>
    <t>Nila Lightening Massage Yogurt</t>
  </si>
  <si>
    <t>PM-00579</t>
  </si>
  <si>
    <t>Clarifying Rose GOLD Peel off Mask</t>
  </si>
  <si>
    <t>PM-00580</t>
  </si>
  <si>
    <t>Anti Ageing Gold Peel off Mask</t>
  </si>
  <si>
    <t>PM-00749</t>
  </si>
  <si>
    <t>AHA skin brightenig scrub</t>
  </si>
  <si>
    <t>korean basic</t>
  </si>
  <si>
    <t>PM-00750</t>
  </si>
  <si>
    <t>Ultranourishing Ginseng Massage Cream</t>
  </si>
  <si>
    <t>PM-00751</t>
  </si>
  <si>
    <t>Rice Water CICA Silk Sheet Mask</t>
  </si>
  <si>
    <t>PM-00752</t>
  </si>
  <si>
    <t>Hyaluronic Gel Cleanser</t>
  </si>
  <si>
    <t xml:space="preserve">5 ml </t>
  </si>
  <si>
    <t>hydra</t>
  </si>
  <si>
    <t>PM-00753</t>
  </si>
  <si>
    <t>Hydra boost Vit C Scrub Gel</t>
  </si>
  <si>
    <t>PM-00754</t>
  </si>
  <si>
    <t>Hydrating Massage Cream</t>
  </si>
  <si>
    <t>PM-00792</t>
  </si>
  <si>
    <t>Hydra boost fairness gel</t>
  </si>
  <si>
    <t>PM-00755</t>
  </si>
  <si>
    <t>Polyglutamic Hydra Sheet Mask</t>
  </si>
  <si>
    <t>PM-00756</t>
  </si>
  <si>
    <t>Chocolate face Cleanser</t>
  </si>
  <si>
    <t>choc Moringa</t>
  </si>
  <si>
    <t>PM-00757</t>
  </si>
  <si>
    <t>Moringa D/Tan Fairness Pre Mask</t>
  </si>
  <si>
    <t>PM-00561</t>
  </si>
  <si>
    <t>Moringa Fairness Gel</t>
  </si>
  <si>
    <t>PM-00562</t>
  </si>
  <si>
    <t>Coco Coffee Scrub</t>
  </si>
  <si>
    <t>PM-00563</t>
  </si>
  <si>
    <t>Moringa Nourishing Massage Cream</t>
  </si>
  <si>
    <t xml:space="preserve">10ml </t>
  </si>
  <si>
    <t>PM-00564</t>
  </si>
  <si>
    <t>Dry Face sheet mask</t>
  </si>
  <si>
    <t>PM-00565</t>
  </si>
  <si>
    <t>Whitening Geothermal sheet Mask</t>
  </si>
  <si>
    <t>4 pcs</t>
  </si>
  <si>
    <t>PM-00758</t>
  </si>
  <si>
    <t>Pore Cleaning Gel</t>
  </si>
  <si>
    <t>PM-00759</t>
  </si>
  <si>
    <t>Pore Minimising Fairness Gel</t>
  </si>
  <si>
    <t>PM-00760</t>
  </si>
  <si>
    <t>Ultra Brightening Peeling Scrub</t>
  </si>
  <si>
    <t>PM-00761</t>
  </si>
  <si>
    <t>Moisturising Massage Yogurt</t>
  </si>
  <si>
    <t>PM-00762</t>
  </si>
  <si>
    <t>Pore Cleansing Clay Masque</t>
  </si>
  <si>
    <t>PM-00763</t>
  </si>
  <si>
    <t>Pure Moist Massage Cream</t>
  </si>
  <si>
    <t>PM-00764</t>
  </si>
  <si>
    <t>Neem Aloevera Moisturising Masque</t>
  </si>
  <si>
    <t>PM-00765</t>
  </si>
  <si>
    <t>PM-00766</t>
  </si>
  <si>
    <t>Skin Lightening Scrub</t>
  </si>
  <si>
    <t>PM-00767</t>
  </si>
  <si>
    <t>Hyaluronic -Snow Lotus Mask</t>
  </si>
  <si>
    <t>PM-00768</t>
  </si>
  <si>
    <t>Salicylic Face Cleanser</t>
  </si>
  <si>
    <t>PM-00769</t>
  </si>
  <si>
    <t>Lactic &amp; Noni Fruit Mask</t>
  </si>
  <si>
    <t>PM-00770</t>
  </si>
  <si>
    <t>Glycolic - Matcha Tea Mask</t>
  </si>
  <si>
    <t>PM-00383</t>
  </si>
  <si>
    <t>Korean CiCA Soak</t>
  </si>
  <si>
    <t>PM-00384</t>
  </si>
  <si>
    <t>Ginseng Cuticle Cream</t>
  </si>
  <si>
    <t>PM-00385</t>
  </si>
  <si>
    <t>Korean Rice Water Cleanser</t>
  </si>
  <si>
    <t>PM-00386</t>
  </si>
  <si>
    <t>Korean Pink Clay Powder Scrub</t>
  </si>
  <si>
    <t>PM-00387</t>
  </si>
  <si>
    <t>Ginseng Lotion Base for Scrub</t>
  </si>
  <si>
    <t>PM-00388</t>
  </si>
  <si>
    <t>Ginseng Massage Cream</t>
  </si>
  <si>
    <t>PM-00389</t>
  </si>
  <si>
    <t>Korean Detan Mask</t>
  </si>
  <si>
    <t>PM-00416</t>
  </si>
  <si>
    <t>Korean NO MORE TAN Peel Off Mask</t>
  </si>
  <si>
    <t>PM-00402</t>
  </si>
  <si>
    <t>Vitamin C Mani Pedi Soak</t>
  </si>
  <si>
    <t>PM-00403</t>
  </si>
  <si>
    <t>Vitamin C Foamy Cleanser</t>
  </si>
  <si>
    <t>PM-00404</t>
  </si>
  <si>
    <t>Vitamin C Brightening Scrub</t>
  </si>
  <si>
    <t>PM-00412</t>
  </si>
  <si>
    <t>Brightening Massage Cream</t>
  </si>
  <si>
    <t>PM-00405</t>
  </si>
  <si>
    <t>Vitamin C Detan Mask</t>
  </si>
  <si>
    <t>PM-00376</t>
  </si>
  <si>
    <t>Dead Sea Mani - Pedi Soak</t>
  </si>
  <si>
    <t>PM-00377</t>
  </si>
  <si>
    <t>Exosomes Mani- Pedi Mineral Dip</t>
  </si>
  <si>
    <t>PM-00378</t>
  </si>
  <si>
    <t>Dead Sea Cuticle Remover Cream</t>
  </si>
  <si>
    <t>PM-00379</t>
  </si>
  <si>
    <t>Dead Sea Aqua Candle Exfoliator</t>
  </si>
  <si>
    <t>PM-00380</t>
  </si>
  <si>
    <t>Dead Sea Aqua Candle Massage Cream</t>
  </si>
  <si>
    <t>PM-00381</t>
  </si>
  <si>
    <t>100% Natural Dead Sea Mud Mask</t>
  </si>
  <si>
    <t>PM-00382</t>
  </si>
  <si>
    <t>Dead sea Hydrating Lotion</t>
  </si>
  <si>
    <t>PM-00771</t>
  </si>
  <si>
    <t>Cupcake Soak &amp; Strawberry Cleanser</t>
  </si>
  <si>
    <t>1pc</t>
  </si>
  <si>
    <t>PM-00566</t>
  </si>
  <si>
    <t>Bombshell Cuticle Remover cream</t>
  </si>
  <si>
    <t>5 gm</t>
  </si>
  <si>
    <t>PM-00567</t>
  </si>
  <si>
    <t>Bombshell Hydrating Massage Cream</t>
  </si>
  <si>
    <t>PM-00568</t>
  </si>
  <si>
    <t>Bombshell Hydra Masque</t>
  </si>
  <si>
    <t>PM-00569</t>
  </si>
  <si>
    <t>Bombshell Hydrating Lotion</t>
  </si>
  <si>
    <t>PM-00557</t>
  </si>
  <si>
    <t>Glutathione Cuticle Remover cream</t>
  </si>
  <si>
    <t>PM-00772</t>
  </si>
  <si>
    <t>Scrub Candle</t>
  </si>
  <si>
    <t>PM-00773</t>
  </si>
  <si>
    <t>Massage Candle</t>
  </si>
  <si>
    <t>PM-00558</t>
  </si>
  <si>
    <t>Curcumin D/Tan Fairness Pack</t>
  </si>
  <si>
    <t>PM-00560</t>
  </si>
  <si>
    <t>Mulberry Brightening Gel Peel oﬀ Mask</t>
  </si>
  <si>
    <t>PM-00559</t>
  </si>
  <si>
    <t>Mulberry Hydrating Lotion</t>
  </si>
  <si>
    <t>PM-00774</t>
  </si>
  <si>
    <t>Moringa Mineral Dip</t>
  </si>
  <si>
    <t>PM-00775</t>
  </si>
  <si>
    <t>Moringa Foamy Gel Cleanser</t>
  </si>
  <si>
    <t>PM-00776</t>
  </si>
  <si>
    <t>Moringa Cuticle Remover Cream</t>
  </si>
  <si>
    <t>PM-00777</t>
  </si>
  <si>
    <t>Tan Removal Chocolate Scrub</t>
  </si>
  <si>
    <t>PM-00778</t>
  </si>
  <si>
    <t>Moringa Soothing Massage Cream</t>
  </si>
  <si>
    <t>PM-00779</t>
  </si>
  <si>
    <t>A Pair of Net Wrap</t>
  </si>
  <si>
    <t>PM-00780</t>
  </si>
  <si>
    <t>Chocolate Geothermal Mask</t>
  </si>
  <si>
    <t>PM-00781</t>
  </si>
  <si>
    <t>Chocolate Hydrating Lotion</t>
  </si>
  <si>
    <t>PM-00782</t>
  </si>
  <si>
    <t>Sulphate Free Gel Cleanser</t>
  </si>
  <si>
    <t>PM-00783</t>
  </si>
  <si>
    <t>Tan Removal Charcoal Scrub</t>
  </si>
  <si>
    <t>PM-00784</t>
  </si>
  <si>
    <t>PM-00785</t>
  </si>
  <si>
    <t>Glutathione Gel Cleanser</t>
  </si>
  <si>
    <t>PM-00786</t>
  </si>
  <si>
    <t>Self Melt Tan removal Goji scrub</t>
  </si>
  <si>
    <t>PM-00787</t>
  </si>
  <si>
    <t>Goji D/Tan Fairness Pack</t>
  </si>
  <si>
    <t>PM-00788</t>
  </si>
  <si>
    <t>Goji Fairness Gel</t>
  </si>
  <si>
    <t>PM-00789</t>
  </si>
  <si>
    <t>Foamy Gel Cleanser</t>
  </si>
  <si>
    <t>PM-00790</t>
  </si>
  <si>
    <t>Self Melt Tan removal Chocolate scrub</t>
  </si>
  <si>
    <t>50 gm</t>
  </si>
  <si>
    <t>PM-00791</t>
  </si>
  <si>
    <t>Deep Tissue Massage Oil</t>
  </si>
  <si>
    <t>50 ml</t>
  </si>
  <si>
    <t>#</t>
  </si>
  <si>
    <t>Item Code</t>
  </si>
  <si>
    <t>Item Name</t>
  </si>
  <si>
    <t>Sachet</t>
  </si>
  <si>
    <t>Step-(1) Korean Foaming Oil Cleanser Sachet</t>
  </si>
  <si>
    <t>Step-(2) PDRN Gel Cleanser Sachet</t>
  </si>
  <si>
    <t>Step-(3a) Korean Collagen Glass Glow Peel Disc Sachet</t>
  </si>
  <si>
    <t>Step-(3b) Korean Glass Glow Mixing Serum Sachet</t>
  </si>
  <si>
    <t>Step-(4) Korean Skin Lightening Scrub Sachet</t>
  </si>
  <si>
    <t>Step-(7) PDRN Massage Gel Creme Sachet</t>
  </si>
  <si>
    <t>Step-(2) Ubtan Skin Brightening Scrub Sachet</t>
  </si>
  <si>
    <t>Step-(5) Niacinamide Squalene Massage Cream Sachet</t>
  </si>
  <si>
    <t>Step-(1a) Dead Sea Mani Pedi Soak Sachet</t>
  </si>
  <si>
    <t>Step-(1b) Exosomes Mani Pedi Mineral Dip Sachet(DSATMP)</t>
  </si>
  <si>
    <t>Step-(2) Cutical Remover Cream Sachet(DSATMP)</t>
  </si>
  <si>
    <t>Step-(4) Dead Sea Aqua Candle Exfoliator Sachet (DSATMP)</t>
  </si>
  <si>
    <t>Step-(6) Dead Sea Aqua Candle Massage Cream Sachet (DSATMP)</t>
  </si>
  <si>
    <t>Step-(7) Dead Sea Anti-Tan Mud Mask Sachet (DSATMP)</t>
  </si>
  <si>
    <t>Step-(8) Dead Sea Hydrating Lotion Sachet</t>
  </si>
  <si>
    <t>Step-(1) Vitamin C Foaming Oil Cleanser Sachet</t>
  </si>
  <si>
    <t>Step-(2) Vitamin C Gel Cleanser Sachet</t>
  </si>
  <si>
    <t>Step-(3) Vitamin C Vatna Skin Brightening Scrub Sachet</t>
  </si>
  <si>
    <t>Step-(6) Vitamin C Squalene Massage Cream Sachet</t>
  </si>
  <si>
    <t>Step-(1) Vitamin C Mani Pedi Soak Sachet</t>
  </si>
  <si>
    <t>Step-(2) Vitamin C Foamy Cleanser Sachet</t>
  </si>
  <si>
    <t>Step-(3) Vitamin C Brightening Scrub Sachet</t>
  </si>
  <si>
    <t>Step-(5) Vitamin C De-tan Mask Sachet</t>
  </si>
  <si>
    <t>Step-(4) Vitamin C Brightening Massage Cream Sachet</t>
  </si>
  <si>
    <t>Step-(1) Korean CICA Soak Sachet</t>
  </si>
  <si>
    <t>Step-(2) Ginseng Cuticle Cream Sachet</t>
  </si>
  <si>
    <t>Step-(3) Korean Rice Water Cleanser  Sachet</t>
  </si>
  <si>
    <t>Step-(4a) Korean Pink Clay Powder Scrub Sachet</t>
  </si>
  <si>
    <t>Step-(4b) Ginseng Lotion Base for Scrub Sachet</t>
  </si>
  <si>
    <t>Step-(6) Ginseng Massage Cream Sachet</t>
  </si>
  <si>
    <t>Step-(7) Korean Detan Mask Sachet</t>
  </si>
  <si>
    <t>Step-(8) Hydra Glow PDRN Glass Mask Sachet</t>
  </si>
  <si>
    <t>Step-(7a+b) Collagen Dissolving Mask+Mist Sachet</t>
  </si>
  <si>
    <t>Step-(8) Ultra Brightening Rose Petal Jelly Mask Sachet</t>
  </si>
  <si>
    <t>Step-(8) Korean No More Tan Gel Peel Of Mask Sachet</t>
  </si>
  <si>
    <t>Step-(6) Ultra Lightening Orange Peel Jelly Mask Sachet</t>
  </si>
  <si>
    <t>Step (1)Dead Sea Exosomes Hyaluronic Face Cleanser (dry, anti ageing skin)</t>
  </si>
  <si>
    <t>Step (7) Dead sea Exosomes Massage Cream (dry, anti ageing skin)</t>
  </si>
  <si>
    <t>Step (1) Dead sea Exosomes Cleanser (oily, anti acne skin)</t>
  </si>
  <si>
    <t>Step (7) Dead sea Exosomes Massage Gel (oily, anti acne skin)</t>
  </si>
  <si>
    <t>Step (2) Dead sea Exosomes Fairness Pre Mask (dry, oily, anti acne, anti ageing skin)</t>
  </si>
  <si>
    <t>Step (4) Dead sea Exosomes 3-in-1 Facial Polish (dry, oily, anti acne, anti ageing skin)</t>
  </si>
  <si>
    <t>Step (3) Dead sea Exosomes Minerals Gel (dry, oily, anti acne, anti ageing skin)</t>
  </si>
  <si>
    <t>Step (8) Dead sea Exosomes Hyaluronic Mud mask (dry skin)</t>
  </si>
  <si>
    <t>Step (8) Dead sea Exosomes Noni Fruit Mud Mask (oily skin)</t>
  </si>
  <si>
    <t>Step (8) Dead sea Exosomes Glycolic Exosomes Mud Mask  (anti acne skin)</t>
  </si>
  <si>
    <t>Step (8) Dead sea Exosomes Collagen mud mask (anti ageing skin)</t>
  </si>
  <si>
    <t>Step-(2) Remover Cream  Bombshell High Tea Mani Pedi  Sachet</t>
  </si>
  <si>
    <t>Step-(4) Massage Cream Bombshell High Tea Mani Pedi Sachet</t>
  </si>
  <si>
    <t>Step-(5) Masque Bombshell High Tea Mani Pedi Sachet</t>
  </si>
  <si>
    <t>Step-(6) Hydrating lotion Bombshell High Tea Mani Pedi Sachet</t>
  </si>
  <si>
    <t>Step-(2) Remover Cream Candle Spa Mani Pedi Sachet</t>
  </si>
  <si>
    <t>Step-(6) Fairness Pack Candle Spa Mani Pedi Sachet</t>
  </si>
  <si>
    <t>Step-(8) Mulbery Hydrating Lotion Candle Spa Mani Pedi Sachet</t>
  </si>
  <si>
    <t>Step-(7) Gel Peel of Mask Candle Spa Mani Pedi Sachet</t>
  </si>
  <si>
    <t>Step-(3) Fairness Gel Chocolate Moringa Facial Kit Sachet</t>
  </si>
  <si>
    <t>Step-(4) Coco Coffee Scrub Chocolate Moringa Facial Kit Sachet</t>
  </si>
  <si>
    <t>Step-(5) Massage Cream Chocolate Moringa Facial Kit Sachet</t>
  </si>
  <si>
    <t>Step (1) Gold Moroccan Vit C detan cleaser (oily skin)</t>
  </si>
  <si>
    <t>Step (2) Gold Moroccan Vit C Fairness Pre Mask (oily, dry, anti ageing skin)</t>
  </si>
  <si>
    <t>Step (7) Gold Moroccan Vit C Massage Yogurt (oily skin)</t>
  </si>
  <si>
    <t>Step (3)- Gold Moroccan Vit C GOLD Fairness Gel (oily, dry, anti ageing skin)</t>
  </si>
  <si>
    <t>Step (4) Gold Moroccan Vit C Scrub (oily, dry, anti ageing skin)</t>
  </si>
  <si>
    <t>Step (8) Gold Moroccan Vit C Hydrating GOLD Peel off Mask (dry skin)</t>
  </si>
  <si>
    <t>Step (8) Gold Moroccan Vit C Clarifying Rose GOLD Peel off Mask (oily skin)</t>
  </si>
  <si>
    <t>Step (8) Gold Moroccan Vit C Anti Ageing Gold Peel off Mask (anti ageing skin)</t>
  </si>
  <si>
    <t>Step-(6b)Sheet Mask Chocolate Moringa Facial Kit Sachet</t>
  </si>
  <si>
    <t>Step-(6a) Dry Face Sheet Mask Chocolate Moringa Facial Kit Sachet</t>
  </si>
  <si>
    <t>Step (7) Gold Moroccan Vit C Massage Cream (dry skin)</t>
  </si>
  <si>
    <t>Step-(1) Soap Cleanser Gold Morocan Vit-C Facial Kit Sachet</t>
  </si>
  <si>
    <t>S.No.</t>
  </si>
  <si>
    <t>Item code</t>
  </si>
  <si>
    <t>Item name</t>
  </si>
  <si>
    <t>Stock</t>
  </si>
  <si>
    <t>Kits</t>
  </si>
  <si>
    <t>PM-00443</t>
  </si>
  <si>
    <t>Blister Tray Small Size 143mm x 106mm</t>
  </si>
  <si>
    <t>dead sea anti tan Mani Pedi</t>
  </si>
  <si>
    <t>PM-00374</t>
  </si>
  <si>
    <t>Blister Tray (500micron, APET 49 box 4001 box 250)</t>
  </si>
  <si>
    <t>Wedding , advance Korean, eternal bride</t>
  </si>
  <si>
    <t>PM-00598</t>
  </si>
  <si>
    <t xml:space="preserve">PVC Box-300 micron </t>
  </si>
  <si>
    <t>PM-00652</t>
  </si>
  <si>
    <t>Plastic Container Cup Cake</t>
  </si>
  <si>
    <t>PM-00653</t>
  </si>
  <si>
    <t>Plastic Container Wine Glass</t>
  </si>
  <si>
    <t>Blister Tray Small Size 145mm X 117mm</t>
  </si>
  <si>
    <t>Candle spa Mani Pedi</t>
  </si>
  <si>
    <t>PM-00582</t>
  </si>
  <si>
    <t>Blister Tray Size 132mmX132mm</t>
  </si>
  <si>
    <t>KOrean No More Tan MP</t>
  </si>
  <si>
    <t>dead sea Anti Tan Mani Pedi</t>
  </si>
  <si>
    <t>Facial kits</t>
  </si>
  <si>
    <t>PVC Box-300 micron</t>
  </si>
  <si>
    <t>PM-00871</t>
  </si>
  <si>
    <t>PM-00872</t>
  </si>
  <si>
    <t>PM-00517</t>
  </si>
  <si>
    <t>Advanced Korean PDRN Facial Kit-Outer Bottom</t>
  </si>
  <si>
    <t>PM-00516</t>
  </si>
  <si>
    <t>Advanced Korean PDRN Facial Kit-Outer Top</t>
  </si>
  <si>
    <t>PM-00515</t>
  </si>
  <si>
    <t>Advanced Korean PDRN Facial Kit-sleeve</t>
  </si>
  <si>
    <t>PM-00507</t>
  </si>
  <si>
    <t>Eternal Bride Vit c Facial Kit Outer Bottom</t>
  </si>
  <si>
    <t>PM-00508</t>
  </si>
  <si>
    <t>Eternal Bride Vit c Facial Kit Outer Top</t>
  </si>
  <si>
    <t>PM-00509</t>
  </si>
  <si>
    <t>Eternal Bride Vit c Facial Kit Sleeve</t>
  </si>
  <si>
    <t>PM-00615</t>
  </si>
  <si>
    <t>Home care Anti Agening Monocarton</t>
  </si>
  <si>
    <t>PM-00616</t>
  </si>
  <si>
    <t>Home care kit Glow Kit Anti Monocarton</t>
  </si>
  <si>
    <t>PM-00617</t>
  </si>
  <si>
    <t>Home care Kit Pore Minimizing Monocarton</t>
  </si>
  <si>
    <t>PM-00614</t>
  </si>
  <si>
    <t>Home Care Kit Ultra Hydrating Monocarton</t>
  </si>
  <si>
    <t>PM-00612</t>
  </si>
  <si>
    <t>Home Care Kit-De-Pigmenation Monocarton</t>
  </si>
  <si>
    <t>PM-00613</t>
  </si>
  <si>
    <t>Home Care Skin Clarifying Monocarton</t>
  </si>
  <si>
    <t>PM-00505</t>
  </si>
  <si>
    <t>Vitamin C Instant Glow Mani Pedi Monocarton</t>
  </si>
  <si>
    <t>PM-00504</t>
  </si>
  <si>
    <t>Vitamin C Instant Glow MAni Pedi outer box</t>
  </si>
  <si>
    <t>PM-00510</t>
  </si>
  <si>
    <t>Wedding Glow Niacinamide Facial Kit-Outer Bottom</t>
  </si>
  <si>
    <t>PM-00511</t>
  </si>
  <si>
    <t>Wedding Glow Niacinamide Facial Kit-Outer Top</t>
  </si>
  <si>
    <t>PM-00512</t>
  </si>
  <si>
    <t>Wedding Glow Niacinamide Facial Kit-Sleeve</t>
  </si>
  <si>
    <t>PM-00793</t>
  </si>
  <si>
    <t>Korean No More Tan Mani Pedi - Outer Bottom</t>
  </si>
  <si>
    <t>PM-00794</t>
  </si>
  <si>
    <t>Korean No More Tan Mani Pedi - Outer Top</t>
  </si>
  <si>
    <t>PM-00795</t>
  </si>
  <si>
    <t>Korean No More Tan Mani Pedi - Sleeve</t>
  </si>
  <si>
    <t>PM-00796</t>
  </si>
  <si>
    <t>Dead Sea Anti Tan Mani Pedi With Exosomes - Outer Bottom</t>
  </si>
  <si>
    <t>PM-00797</t>
  </si>
  <si>
    <t>Dead Sea Anti Tan Mani Pedi With Exosomes - Outer Top</t>
  </si>
  <si>
    <t>PM-00798</t>
  </si>
  <si>
    <t>Dead Sea Anti Tan Mani Pedi With Exosomes - Sleeve</t>
  </si>
  <si>
    <t>PM-00799</t>
  </si>
  <si>
    <t>Cryo Peptide Red Carpet DNA Facial- Pore Minimizing- Outer Bottom</t>
  </si>
  <si>
    <t>PM-00800</t>
  </si>
  <si>
    <t>Cryo Peptide Red Carpet DNA Facial- Pore Minimizing- Outer Top</t>
  </si>
  <si>
    <t>PM-00801</t>
  </si>
  <si>
    <t>Cryo Peptide Red Carpet DNA Facial- Pore Minimizing- Sleeve</t>
  </si>
  <si>
    <t>PM-00802</t>
  </si>
  <si>
    <t>Cryo Peptide Red Carpet DNA Facial- D/Pigmentation- Outer Bottom</t>
  </si>
  <si>
    <t>PM-00803</t>
  </si>
  <si>
    <t>Cryo Peptide Red Carpet DNA Facial- D/Pigmentation- Outer Top</t>
  </si>
  <si>
    <t>PM-00804</t>
  </si>
  <si>
    <t>Cryo Peptide Red Carpet DNA Facial- D/Pigmentation- Sleeve</t>
  </si>
  <si>
    <t>PM-00805</t>
  </si>
  <si>
    <t>Cryo Peptide Red Carpet DNA Facial- Anti-Aging- Outer Bottom</t>
  </si>
  <si>
    <t>PM-00806</t>
  </si>
  <si>
    <t>Cryo Peptide Red Carpet DNA Facial- Anti-Aging- Outer Top</t>
  </si>
  <si>
    <t>PM-00807</t>
  </si>
  <si>
    <t>Cryo Peptide Red Carpet DNA Facial- Anti-Aging - Sleeve</t>
  </si>
  <si>
    <t>PM-00808</t>
  </si>
  <si>
    <t>CC Derma Polyglutamic Ice Facial- Skin Lightening- Outer Bottom</t>
  </si>
  <si>
    <t>PM-00809</t>
  </si>
  <si>
    <t>CC Derma Polyglutamic Ice Facial- Skin Lightening- Outer Top</t>
  </si>
  <si>
    <t>PM-00810</t>
  </si>
  <si>
    <t>CC Derma Polyglutamic Ice Facial- Skin Lightening- Sleeve</t>
  </si>
  <si>
    <t>PM-00811</t>
  </si>
  <si>
    <t>CC Derma Polyglutamic Ice Facial- Instant glow- Outer Bottom</t>
  </si>
  <si>
    <t>PM-00812</t>
  </si>
  <si>
    <t>CC Derma Polyglutamic Ice Facial- Instant glow- Outer Top</t>
  </si>
  <si>
    <t>PM-00813</t>
  </si>
  <si>
    <t>CC Derma Polyglutamic Ice Facial- Instant glow- Sleeve</t>
  </si>
  <si>
    <t>PM-00814</t>
  </si>
  <si>
    <t>CC Derma Polyglutamic Ice Facial- Acne Cure- Outer Bottom</t>
  </si>
  <si>
    <t>PM-00815</t>
  </si>
  <si>
    <t>CC Derma Polyglutamic Ice Facial- Acne Cure- Outer Top</t>
  </si>
  <si>
    <t>PM-00816</t>
  </si>
  <si>
    <t>CC Derma Polyglutamic Ice Facial- Acne Cure- Sleeve</t>
  </si>
  <si>
    <t>PM-00817</t>
  </si>
  <si>
    <t>Dead Sea Exosomes - Dry Skin- Outer Bottom</t>
  </si>
  <si>
    <t>PM-00818</t>
  </si>
  <si>
    <t>Dead Sea Exosomes - Dry Skin- Outer Top</t>
  </si>
  <si>
    <t>PM-00819</t>
  </si>
  <si>
    <t>Dead Sea Exosomes - Dry Skin- Sleeve</t>
  </si>
  <si>
    <t>PM-00820</t>
  </si>
  <si>
    <t>Dead Sea Exosomes - Oily Skin- Outer Bottom</t>
  </si>
  <si>
    <t>PM-00821</t>
  </si>
  <si>
    <t>Dead Sea Exosomes - Oily Skin- Outer Top</t>
  </si>
  <si>
    <t>PM-00822</t>
  </si>
  <si>
    <t>Dead Sea Exosomes - Oily Skin- Sleeve</t>
  </si>
  <si>
    <t>PM-00823</t>
  </si>
  <si>
    <t>Dead Sea Exosomes - Acne Skin- Outer Bottom</t>
  </si>
  <si>
    <t>PM-00824</t>
  </si>
  <si>
    <t>Dead Sea Exosomes - Acne Skin- Outer Top</t>
  </si>
  <si>
    <t>PM-00825</t>
  </si>
  <si>
    <t>Dead Sea Exosomes - Acne Skin- Sleeve</t>
  </si>
  <si>
    <t>PM-00826</t>
  </si>
  <si>
    <t>Dead Sea Exosomes - Anti- Aging Skin- Outer Bottom</t>
  </si>
  <si>
    <t>PM-00827</t>
  </si>
  <si>
    <t>Dead Sea Exosomes - Anti- Aging Skin- Outer Top</t>
  </si>
  <si>
    <t>PM-00828</t>
  </si>
  <si>
    <t>Dead Sea Exosomes - Anti- Aging Skin- Sleeve</t>
  </si>
  <si>
    <t>PM-00829</t>
  </si>
  <si>
    <t>Gold Moroccan Vit C Facial Kit- Dry Skin- Outer Bottom</t>
  </si>
  <si>
    <t>PM-00830</t>
  </si>
  <si>
    <t>Gold Moroccan Vit C Facial Kit- Dry Skin- Outer Top</t>
  </si>
  <si>
    <t>PM-00831</t>
  </si>
  <si>
    <t>Gold Moroccan Vit C Facial Kit- Dry Skin- Sleeve</t>
  </si>
  <si>
    <t>PM-00832</t>
  </si>
  <si>
    <t>Gold Moroccan Vit C Facial Kit- Oily Skin- Outer Bottom</t>
  </si>
  <si>
    <t>PM-00833</t>
  </si>
  <si>
    <t>Gold Moroccan Vit C Facial Kit- Oily Skin- Outer Top</t>
  </si>
  <si>
    <t>PM-00834</t>
  </si>
  <si>
    <t>Gold Moroccan Vit C Facial Kit- Oily Skin- Sleeve</t>
  </si>
  <si>
    <t>PM-00835</t>
  </si>
  <si>
    <t>Gold Moroccan Vit C Facial Kit- Anti-Aging- Outer Bottom</t>
  </si>
  <si>
    <t>PM-00836</t>
  </si>
  <si>
    <t>Gold Moroccan Vit C Facial Kit- Anti-Aging- Outer Top</t>
  </si>
  <si>
    <t>PM-00837</t>
  </si>
  <si>
    <t>Gold Moroccan Vit C Facial Kit- Anti-Aging- Sleeve</t>
  </si>
  <si>
    <t>PM-00838</t>
  </si>
  <si>
    <t>Korean Glass Skin Facial Kit- Monocarton</t>
  </si>
  <si>
    <t>PM-00839</t>
  </si>
  <si>
    <t>Korean Glass Skin Facial Kit- Outerbox</t>
  </si>
  <si>
    <t>PM-00840</t>
  </si>
  <si>
    <t>Hydra Facial Kit- Monocarton</t>
  </si>
  <si>
    <t>PM-00841</t>
  </si>
  <si>
    <t>Hydra Facial Kit- Outerbox</t>
  </si>
  <si>
    <t>PM-00842</t>
  </si>
  <si>
    <t>Chocolate Moringa Facial Kit- Monocarton</t>
  </si>
  <si>
    <t>PM-00843</t>
  </si>
  <si>
    <t>Chocolate Moringa Facial Kit- Outer Box</t>
  </si>
  <si>
    <t>PM-00844</t>
  </si>
  <si>
    <t>Pure Pore Facial Kit- Monocarton</t>
  </si>
  <si>
    <t>PM-00845</t>
  </si>
  <si>
    <t>Pure Pore Facial Kit- Outer box</t>
  </si>
  <si>
    <t>PM-00846</t>
  </si>
  <si>
    <t>Pure Moist Facial Kit- Monocarton</t>
  </si>
  <si>
    <t>PM-00847</t>
  </si>
  <si>
    <t>Pure Moist Facial Kit-Outer Box</t>
  </si>
  <si>
    <t>PM-00848</t>
  </si>
  <si>
    <t>Basic Organic Clean Up- Dry Skin- Monocarton</t>
  </si>
  <si>
    <t>PM-00849</t>
  </si>
  <si>
    <t>Basic Organic Clean Up- Dry Skin- Outer Box</t>
  </si>
  <si>
    <t>PM-00850</t>
  </si>
  <si>
    <t>Basic Organic Clean Up- Oily Skin- Monocarton</t>
  </si>
  <si>
    <t>PM-00851</t>
  </si>
  <si>
    <t>Basic Organic Clean Up- Oily Skin- Outer Box</t>
  </si>
  <si>
    <t>PM-00852</t>
  </si>
  <si>
    <t>Basic Organic Clean Up- Acne Skin- Monocarton</t>
  </si>
  <si>
    <t>PM-00853</t>
  </si>
  <si>
    <t>Basic Organic Clean Up- Acne Skin- Outer Box</t>
  </si>
  <si>
    <t>PM-00854</t>
  </si>
  <si>
    <t>Bombshell High Tea Mani Pedi Cookies &amp; Cupcake - monocarton</t>
  </si>
  <si>
    <t>PM-00855</t>
  </si>
  <si>
    <t>Bombshell High Tea Mani Pedi Cookies &amp; Cupcake - outerbox</t>
  </si>
  <si>
    <t>PM-00856</t>
  </si>
  <si>
    <t>Bombshell High Tea Mani Pedi Italian Tiramisu - monocarton</t>
  </si>
  <si>
    <t>PM-00857</t>
  </si>
  <si>
    <t>Bombshell High Tea Mani Pedi  Italian Tiramisu - outerbox</t>
  </si>
  <si>
    <t>PM-00858</t>
  </si>
  <si>
    <t>Bombshell High Tea Mani Pedi Wine &amp; Cheese - monocarton</t>
  </si>
  <si>
    <t>PM-00859</t>
  </si>
  <si>
    <t>Bombshell High Tea Mani Pedi Wine &amp; Cheese -  outerbox</t>
  </si>
  <si>
    <t>PM-00860</t>
  </si>
  <si>
    <t>Candle Spa Mani Pedi- Outer Bottom</t>
  </si>
  <si>
    <t>PM-00861</t>
  </si>
  <si>
    <t>Candle Spa Mani Pedi- Outer Top</t>
  </si>
  <si>
    <t>PM-00862</t>
  </si>
  <si>
    <t>Candle Spa Mani Pedi- Sleeve</t>
  </si>
  <si>
    <t>PM-00863</t>
  </si>
  <si>
    <t>Basic Organic Mani Pedi- Monocarton</t>
  </si>
  <si>
    <t>PM-00864</t>
  </si>
  <si>
    <t>Basic Organic Mani Pedi- Outer Box</t>
  </si>
  <si>
    <t>PM-00865</t>
  </si>
  <si>
    <t>Choco Moringa Mani Pedi- Monocarton</t>
  </si>
  <si>
    <t>PM-00866</t>
  </si>
  <si>
    <t>Choco Moringa Mani Pedi- Outer Box</t>
  </si>
  <si>
    <t>PM-00867</t>
  </si>
  <si>
    <t>Brazilian Clean Up- Monocarton</t>
  </si>
  <si>
    <t>PM-00868</t>
  </si>
  <si>
    <t>Brazilian Clean Up- Outer Box</t>
  </si>
  <si>
    <t>PM-00869</t>
  </si>
  <si>
    <t>Body Spa Kit- Monocarton</t>
  </si>
  <si>
    <t>PM-00870</t>
  </si>
  <si>
    <t>Body Spa Kit- Outer Box</t>
  </si>
  <si>
    <t>qty in gms</t>
  </si>
  <si>
    <t>current qty in KG</t>
  </si>
  <si>
    <t>RM-00362</t>
  </si>
  <si>
    <t>Sodium Alginate  Yellow</t>
  </si>
  <si>
    <t>RM-00363</t>
  </si>
  <si>
    <t>Sodium Alginate Blue</t>
  </si>
  <si>
    <t>RM-00364</t>
  </si>
  <si>
    <t>Sodium Alginate Dark Yellow (Gold)</t>
  </si>
  <si>
    <t>RM-00365</t>
  </si>
  <si>
    <t>Sodium Alginate Pink</t>
  </si>
  <si>
    <t>RM-00366</t>
  </si>
  <si>
    <t>Sodium Alginate Orange</t>
  </si>
  <si>
    <t>RM-00367</t>
  </si>
  <si>
    <t>Sodium Alginate  White</t>
  </si>
  <si>
    <t>RM-00368</t>
  </si>
  <si>
    <t>Sodium Alginate Gray</t>
  </si>
  <si>
    <t>Silk Mask Sheet</t>
  </si>
  <si>
    <t>Advance Korean PDRN Facial Kit</t>
  </si>
  <si>
    <t>current order</t>
  </si>
  <si>
    <t>Prd code</t>
  </si>
  <si>
    <t>SNO.</t>
  </si>
  <si>
    <t>Content</t>
  </si>
  <si>
    <t>pcs/ kit</t>
  </si>
  <si>
    <t>3a</t>
  </si>
  <si>
    <t>Korean Collagen Glass Glow Peel</t>
  </si>
  <si>
    <t>1 disc</t>
  </si>
  <si>
    <t>3b</t>
  </si>
  <si>
    <t>depigmentation eye serum</t>
  </si>
  <si>
    <t>2ml</t>
  </si>
  <si>
    <t>Facial tools kit</t>
  </si>
  <si>
    <t>blackhead softener</t>
  </si>
  <si>
    <t>mixing plate</t>
  </si>
  <si>
    <t>Home Care Kit</t>
  </si>
  <si>
    <t>Dead Sea Ultra Hydration Serum</t>
  </si>
  <si>
    <t>Deas Sea Oil free hydrator</t>
  </si>
  <si>
    <t>Eternal Bride Vitamin C Facial Kit</t>
  </si>
  <si>
    <t>Step NO.</t>
  </si>
  <si>
    <t>de pigmentation Eye serum</t>
  </si>
  <si>
    <t xml:space="preserve">2 ml </t>
  </si>
  <si>
    <t>Lip Lightening peel</t>
  </si>
  <si>
    <t>7a</t>
  </si>
  <si>
    <t>Collagen dissolve mask sheet</t>
  </si>
  <si>
    <t>7b</t>
  </si>
  <si>
    <t xml:space="preserve">40 gm </t>
  </si>
  <si>
    <t>Vitamin C Whitening Cream with SPF50</t>
  </si>
  <si>
    <t>Measuring cup</t>
  </si>
  <si>
    <t>Home Care Kit - Pore Minimising</t>
  </si>
  <si>
    <t>Dead Sea Pore MInimising Serum</t>
  </si>
  <si>
    <t>CICA Gel Crème SPF 30</t>
  </si>
  <si>
    <t>Niacinamide buttercream cleansing Powder</t>
  </si>
  <si>
    <t xml:space="preserve">1ml </t>
  </si>
  <si>
    <t>99.5% Pure Niacinamide PDRN Shot Serum</t>
  </si>
  <si>
    <t>Dead Sea depigmentation Serum</t>
  </si>
  <si>
    <t>Dead Sea Face moisturiser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</si>
</sst>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sz val="14"/>
      <color theme="1"/>
      <name val="Aptos Narrow"/>
      <family val="2"/>
      <scheme val="minor"/>
    </font>
    <font>
      <sz val="11"/>
      <color theme="1"/>
      <name val="Candara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</font>
    <font>
      <sz val="11"/>
      <color theme="1"/>
      <name val="Aptos Narrow"/>
      <family val="2"/>
    </font>
    <font>
      <sz val="12"/>
      <color rgb="FF000000"/>
      <name val="Aptos Narrow"/>
    </font>
    <font>
      <sz val="11"/>
      <color rgb="FF000000"/>
      <name val="Aptos Narrow"/>
    </font>
    <font>
      <sz val="11"/>
      <color rgb="FFFF0000"/>
      <name val="Aptos Narrow"/>
    </font>
    <font>
      <sz val="11"/>
      <name val="Calibri"/>
    </font>
    <font>
      <b/>
      <sz val="11"/>
      <name val="Calibri"/>
      <family val="2"/>
    </font>
    <font>
      <sz val="12"/>
      <color rgb="FFFF0000"/>
      <name val="Aptos Narrow"/>
      <family val="2"/>
      <scheme val="minor"/>
    </font>
    <font>
      <sz val="11"/>
      <color rgb="FF010514"/>
      <name val="Arial"/>
      <family val="2"/>
      <charset val="1"/>
    </font>
    <font>
      <sz val="11"/>
      <color rgb="FF000000"/>
      <name val="Inherit"/>
      <charset val="1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5" xfId="0" applyFont="1" applyBorder="1"/>
    <xf numFmtId="0" fontId="4" fillId="2" borderId="0" xfId="0" applyFont="1" applyFill="1"/>
    <xf numFmtId="0" fontId="3" fillId="0" borderId="7" xfId="0" applyFont="1" applyBorder="1"/>
    <xf numFmtId="0" fontId="1" fillId="0" borderId="7" xfId="0" applyFont="1" applyBorder="1"/>
    <xf numFmtId="0" fontId="4" fillId="2" borderId="1" xfId="0" applyFont="1" applyFill="1" applyBorder="1"/>
    <xf numFmtId="0" fontId="9" fillId="0" borderId="1" xfId="0" applyFont="1" applyBorder="1"/>
    <xf numFmtId="17" fontId="3" fillId="0" borderId="1" xfId="0" applyNumberFormat="1" applyFont="1" applyBorder="1"/>
    <xf numFmtId="0" fontId="11" fillId="0" borderId="0" xfId="0" applyFont="1"/>
    <xf numFmtId="0" fontId="12" fillId="0" borderId="8" xfId="0" applyFont="1" applyBorder="1" applyAlignment="1">
      <alignment horizontal="center"/>
    </xf>
    <xf numFmtId="0" fontId="12" fillId="0" borderId="8" xfId="0" applyFont="1" applyBorder="1"/>
    <xf numFmtId="164" fontId="12" fillId="0" borderId="8" xfId="0" applyNumberFormat="1" applyFont="1" applyBorder="1" applyAlignment="1">
      <alignment horizontal="right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0" fontId="0" fillId="3" borderId="1" xfId="0" applyFill="1" applyBorder="1"/>
    <xf numFmtId="0" fontId="14" fillId="0" borderId="4" xfId="0" applyFont="1" applyBorder="1"/>
    <xf numFmtId="0" fontId="14" fillId="4" borderId="1" xfId="0" applyFont="1" applyFill="1" applyBorder="1"/>
    <xf numFmtId="0" fontId="16" fillId="4" borderId="5" xfId="0" applyFont="1" applyFill="1" applyBorder="1"/>
    <xf numFmtId="0" fontId="1" fillId="4" borderId="0" xfId="0" applyFont="1" applyFill="1"/>
    <xf numFmtId="0" fontId="0" fillId="4" borderId="1" xfId="0" applyFill="1" applyBorder="1"/>
    <xf numFmtId="0" fontId="14" fillId="4" borderId="5" xfId="0" applyFont="1" applyFill="1" applyBorder="1"/>
    <xf numFmtId="0" fontId="14" fillId="4" borderId="4" xfId="0" applyFont="1" applyFill="1" applyBorder="1"/>
    <xf numFmtId="0" fontId="15" fillId="4" borderId="8" xfId="0" applyFont="1" applyFill="1" applyBorder="1" applyAlignment="1">
      <alignment wrapText="1"/>
    </xf>
    <xf numFmtId="0" fontId="14" fillId="4" borderId="9" xfId="0" applyFont="1" applyFill="1" applyBorder="1"/>
    <xf numFmtId="0" fontId="1" fillId="4" borderId="1" xfId="0" applyFont="1" applyFill="1" applyBorder="1"/>
    <xf numFmtId="0" fontId="0" fillId="4" borderId="0" xfId="0" applyFill="1"/>
    <xf numFmtId="0" fontId="1" fillId="3" borderId="1" xfId="0" applyFont="1" applyFill="1" applyBorder="1"/>
    <xf numFmtId="0" fontId="1" fillId="3" borderId="0" xfId="0" applyFont="1" applyFill="1"/>
    <xf numFmtId="0" fontId="17" fillId="4" borderId="8" xfId="0" applyFont="1" applyFill="1" applyBorder="1" applyAlignment="1">
      <alignment wrapText="1"/>
    </xf>
    <xf numFmtId="0" fontId="0" fillId="3" borderId="0" xfId="0" applyFill="1"/>
    <xf numFmtId="0" fontId="18" fillId="4" borderId="1" xfId="0" applyFont="1" applyFill="1" applyBorder="1"/>
    <xf numFmtId="0" fontId="18" fillId="4" borderId="5" xfId="0" applyFont="1" applyFill="1" applyBorder="1"/>
    <xf numFmtId="0" fontId="18" fillId="0" borderId="1" xfId="0" applyFont="1" applyBorder="1"/>
    <xf numFmtId="0" fontId="18" fillId="0" borderId="4" xfId="0" applyFont="1" applyBorder="1"/>
    <xf numFmtId="0" fontId="18" fillId="4" borderId="9" xfId="0" applyFont="1" applyFill="1" applyBorder="1"/>
    <xf numFmtId="0" fontId="18" fillId="3" borderId="9" xfId="0" applyFont="1" applyFill="1" applyBorder="1"/>
    <xf numFmtId="0" fontId="19" fillId="0" borderId="1" xfId="0" applyFont="1" applyBorder="1"/>
    <xf numFmtId="0" fontId="20" fillId="0" borderId="0" xfId="0" applyFont="1"/>
    <xf numFmtId="0" fontId="0" fillId="0" borderId="8" xfId="0" applyBorder="1"/>
    <xf numFmtId="0" fontId="1" fillId="0" borderId="8" xfId="0" applyFont="1" applyBorder="1"/>
    <xf numFmtId="0" fontId="11" fillId="0" borderId="8" xfId="0" applyFont="1" applyBorder="1"/>
    <xf numFmtId="0" fontId="1" fillId="0" borderId="8" xfId="0" applyFont="1" applyBorder="1" applyAlignment="1">
      <alignment wrapText="1"/>
    </xf>
    <xf numFmtId="0" fontId="11" fillId="4" borderId="8" xfId="0" applyFont="1" applyFill="1" applyBorder="1"/>
    <xf numFmtId="0" fontId="1" fillId="4" borderId="8" xfId="0" applyFont="1" applyFill="1" applyBorder="1"/>
    <xf numFmtId="0" fontId="0" fillId="4" borderId="8" xfId="0" applyFill="1" applyBorder="1"/>
    <xf numFmtId="0" fontId="2" fillId="0" borderId="8" xfId="0" applyFont="1" applyBorder="1"/>
    <xf numFmtId="0" fontId="18" fillId="4" borderId="8" xfId="0" applyFont="1" applyFill="1" applyBorder="1"/>
    <xf numFmtId="0" fontId="2" fillId="4" borderId="8" xfId="0" applyFont="1" applyFill="1" applyBorder="1"/>
    <xf numFmtId="0" fontId="1" fillId="3" borderId="8" xfId="0" applyFont="1" applyFill="1" applyBorder="1"/>
    <xf numFmtId="0" fontId="2" fillId="3" borderId="8" xfId="0" applyFont="1" applyFill="1" applyBorder="1"/>
    <xf numFmtId="0" fontId="0" fillId="3" borderId="8" xfId="0" applyFill="1" applyBorder="1"/>
    <xf numFmtId="0" fontId="10" fillId="0" borderId="8" xfId="0" applyFont="1" applyBorder="1"/>
    <xf numFmtId="0" fontId="1" fillId="0" borderId="2" xfId="0" applyFont="1" applyBorder="1"/>
    <xf numFmtId="0" fontId="0" fillId="0" borderId="2" xfId="0" applyBorder="1"/>
    <xf numFmtId="0" fontId="22" fillId="0" borderId="8" xfId="0" applyFont="1" applyBorder="1"/>
    <xf numFmtId="0" fontId="2" fillId="3" borderId="0" xfId="0" applyFont="1" applyFill="1"/>
    <xf numFmtId="0" fontId="18" fillId="3" borderId="5" xfId="0" applyFont="1" applyFill="1" applyBorder="1"/>
    <xf numFmtId="0" fontId="21" fillId="0" borderId="8" xfId="0" applyFont="1" applyBorder="1"/>
    <xf numFmtId="0" fontId="20" fillId="0" borderId="8" xfId="0" applyFont="1" applyBorder="1"/>
    <xf numFmtId="0" fontId="0" fillId="0" borderId="5" xfId="0" applyBorder="1"/>
    <xf numFmtId="0" fontId="0" fillId="0" borderId="4" xfId="0" applyBorder="1"/>
    <xf numFmtId="0" fontId="22" fillId="5" borderId="1" xfId="0" applyFont="1" applyFill="1" applyBorder="1"/>
    <xf numFmtId="0" fontId="3" fillId="0" borderId="8" xfId="0" applyFont="1" applyBorder="1"/>
    <xf numFmtId="0" fontId="23" fillId="0" borderId="8" xfId="0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1" fillId="0" borderId="4" xfId="0" applyFont="1" applyBorder="1"/>
    <xf numFmtId="0" fontId="0" fillId="0" borderId="10" xfId="0" applyBorder="1"/>
    <xf numFmtId="0" fontId="25" fillId="0" borderId="10" xfId="0" applyFont="1" applyBorder="1"/>
    <xf numFmtId="0" fontId="0" fillId="0" borderId="11" xfId="0" applyBorder="1"/>
    <xf numFmtId="0" fontId="20" fillId="6" borderId="8" xfId="0" applyFont="1" applyFill="1" applyBorder="1"/>
    <xf numFmtId="0" fontId="11" fillId="7" borderId="0" xfId="0" applyFont="1" applyFill="1"/>
    <xf numFmtId="0" fontId="11" fillId="7" borderId="8" xfId="0" applyFont="1" applyFill="1" applyBorder="1"/>
    <xf numFmtId="0" fontId="18" fillId="7" borderId="4" xfId="0" applyFont="1" applyFill="1" applyBorder="1"/>
    <xf numFmtId="0" fontId="1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FFEE-55E4-5F47-BAD9-2998FCEBC52C}">
  <dimension ref="A1:G163"/>
  <sheetViews>
    <sheetView zoomScaleNormal="100" workbookViewId="0">
      <selection activeCell="A93" sqref="A93"/>
    </sheetView>
  </sheetViews>
  <sheetFormatPr defaultColWidth="10.625" defaultRowHeight="15.75" customHeight="1"/>
  <cols>
    <col min="1" max="1" width="10.5" bestFit="1" customWidth="1"/>
    <col min="2" max="2" width="41" bestFit="1" customWidth="1"/>
    <col min="3" max="3" width="6.5" bestFit="1" customWidth="1"/>
    <col min="4" max="4" width="8.25" bestFit="1" customWidth="1"/>
    <col min="5" max="5" width="8.75" bestFit="1" customWidth="1"/>
    <col min="6" max="6" width="8.5" bestFit="1" customWidth="1"/>
    <col min="7" max="7" width="19.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  <c r="G1" t="s">
        <v>6</v>
      </c>
    </row>
    <row r="2" spans="1:7">
      <c r="A2" s="77" t="s">
        <v>7</v>
      </c>
      <c r="B2" s="4" t="s">
        <v>8</v>
      </c>
      <c r="C2" s="4" t="s">
        <v>9</v>
      </c>
      <c r="D2" s="4" t="s">
        <v>10</v>
      </c>
      <c r="E2" s="4">
        <v>20000</v>
      </c>
      <c r="F2" s="4">
        <f>E2-'Wed Glow'!F9</f>
        <v>19994</v>
      </c>
    </row>
    <row r="3" spans="1:7">
      <c r="A3" s="77" t="s">
        <v>11</v>
      </c>
      <c r="B3" s="4" t="s">
        <v>12</v>
      </c>
      <c r="C3" s="4" t="s">
        <v>9</v>
      </c>
      <c r="D3" s="4" t="s">
        <v>10</v>
      </c>
      <c r="E3" s="4">
        <v>20000</v>
      </c>
      <c r="F3" s="4">
        <f>E3-'Adv Kor'!F12</f>
        <v>19994</v>
      </c>
    </row>
    <row r="4" spans="1:7">
      <c r="A4" s="77" t="s">
        <v>13</v>
      </c>
      <c r="B4" s="4" t="s">
        <v>14</v>
      </c>
      <c r="C4" s="4" t="s">
        <v>9</v>
      </c>
      <c r="D4" s="4" t="s">
        <v>10</v>
      </c>
      <c r="E4" s="4">
        <v>20000</v>
      </c>
      <c r="F4" s="4">
        <f>E4-'Ete Bride'!F12</f>
        <v>19994</v>
      </c>
    </row>
    <row r="5" spans="1:7">
      <c r="A5" s="77" t="s">
        <v>15</v>
      </c>
      <c r="B5" s="4" t="s">
        <v>16</v>
      </c>
      <c r="C5" s="4" t="s">
        <v>9</v>
      </c>
      <c r="D5" s="4" t="s">
        <v>10</v>
      </c>
      <c r="E5" s="4">
        <v>20000</v>
      </c>
      <c r="F5" s="4"/>
    </row>
    <row r="6" spans="1:7">
      <c r="A6" s="77" t="s">
        <v>17</v>
      </c>
      <c r="B6" s="3" t="s">
        <v>18</v>
      </c>
      <c r="C6" s="4" t="s">
        <v>19</v>
      </c>
      <c r="D6" s="4" t="s">
        <v>10</v>
      </c>
      <c r="E6" s="4">
        <v>53000</v>
      </c>
      <c r="F6" s="4">
        <f>E6-'Ete Bride'!F7-'Adv Kor'!F8-'Wed Glow'!F5</f>
        <v>49988</v>
      </c>
    </row>
    <row r="7" spans="1:7">
      <c r="A7" s="77" t="s">
        <v>20</v>
      </c>
      <c r="B7" s="3" t="s">
        <v>21</v>
      </c>
      <c r="C7" s="4" t="s">
        <v>22</v>
      </c>
      <c r="D7" s="4" t="s">
        <v>10</v>
      </c>
      <c r="E7" s="21">
        <v>60000</v>
      </c>
      <c r="F7" s="4">
        <f>E7-'Ete Bride'!F6-'Adv Kor'!F9-'Wed Glow'!F6</f>
        <v>59982</v>
      </c>
    </row>
    <row r="8" spans="1:7">
      <c r="A8" s="77" t="s">
        <v>23</v>
      </c>
      <c r="B8" s="3" t="s">
        <v>24</v>
      </c>
      <c r="C8" s="4" t="s">
        <v>9</v>
      </c>
      <c r="D8" s="4" t="s">
        <v>10</v>
      </c>
      <c r="E8" s="4">
        <v>50000</v>
      </c>
      <c r="F8" s="4">
        <f>'Prd Code'!E8-'Adv Kor'!F13-'Adv Kor'!F22-'Ete Bride'!F13-'Wed Glow'!F19</f>
        <v>49976</v>
      </c>
    </row>
    <row r="9" spans="1:7">
      <c r="A9" s="77" t="s">
        <v>25</v>
      </c>
      <c r="B9" s="4" t="s">
        <v>26</v>
      </c>
      <c r="C9" s="4" t="s">
        <v>9</v>
      </c>
      <c r="D9" s="4" t="s">
        <v>10</v>
      </c>
      <c r="E9" s="4">
        <v>50000</v>
      </c>
      <c r="F9" s="4">
        <f>E9-'Ete Bride'!F22-'Wed Glow'!F10</f>
        <v>49988</v>
      </c>
    </row>
    <row r="10" spans="1:7">
      <c r="A10" s="77" t="s">
        <v>27</v>
      </c>
      <c r="B10" s="4" t="s">
        <v>28</v>
      </c>
      <c r="C10" s="4" t="s">
        <v>29</v>
      </c>
      <c r="D10" s="4" t="s">
        <v>10</v>
      </c>
      <c r="E10" s="4">
        <v>50000</v>
      </c>
      <c r="F10" s="4">
        <f>E10-'Wed Glow'!F18</f>
        <v>49994</v>
      </c>
    </row>
    <row r="11" spans="1:7">
      <c r="A11" s="77" t="s">
        <v>30</v>
      </c>
      <c r="B11" s="4" t="s">
        <v>31</v>
      </c>
      <c r="C11" s="4" t="s">
        <v>29</v>
      </c>
      <c r="D11" s="4" t="s">
        <v>10</v>
      </c>
      <c r="E11" s="4">
        <v>50000</v>
      </c>
      <c r="F11" s="4">
        <f>E11-'Adv Kor'!F21-'Ete Bride'!F21</f>
        <v>49988</v>
      </c>
    </row>
    <row r="12" spans="1:7">
      <c r="A12" s="77" t="s">
        <v>32</v>
      </c>
      <c r="B12" s="4" t="s">
        <v>33</v>
      </c>
      <c r="C12" s="4" t="s">
        <v>29</v>
      </c>
      <c r="D12" s="4" t="s">
        <v>10</v>
      </c>
      <c r="E12" s="4">
        <v>50000</v>
      </c>
      <c r="F12" s="4"/>
    </row>
    <row r="13" spans="1:7">
      <c r="A13" s="77" t="s">
        <v>34</v>
      </c>
      <c r="B13" s="4" t="s">
        <v>35</v>
      </c>
      <c r="C13" s="4" t="s">
        <v>29</v>
      </c>
      <c r="D13" s="4" t="s">
        <v>10</v>
      </c>
      <c r="E13" s="4">
        <v>50000</v>
      </c>
      <c r="F13" s="4"/>
    </row>
    <row r="14" spans="1:7">
      <c r="A14" s="77" t="s">
        <v>36</v>
      </c>
      <c r="B14" s="4" t="s">
        <v>37</v>
      </c>
      <c r="C14" s="4" t="s">
        <v>29</v>
      </c>
      <c r="D14" s="4" t="s">
        <v>10</v>
      </c>
      <c r="E14" s="4">
        <v>50000</v>
      </c>
      <c r="F14" s="4">
        <f>'Prd Code'!E14-'Adv Kor'!F20</f>
        <v>49994</v>
      </c>
    </row>
    <row r="15" spans="1:7">
      <c r="A15" s="77" t="s">
        <v>38</v>
      </c>
      <c r="B15" s="4" t="s">
        <v>39</v>
      </c>
      <c r="C15" s="4" t="s">
        <v>29</v>
      </c>
      <c r="D15" s="4" t="s">
        <v>10</v>
      </c>
      <c r="E15" s="4">
        <v>50000</v>
      </c>
      <c r="F15" s="4">
        <f>E15-'Ete Bride'!F20</f>
        <v>49994</v>
      </c>
    </row>
    <row r="16" spans="1:7">
      <c r="A16" s="77" t="s">
        <v>40</v>
      </c>
      <c r="B16" s="4" t="s">
        <v>41</v>
      </c>
      <c r="C16" s="4" t="s">
        <v>29</v>
      </c>
      <c r="D16" s="4" t="s">
        <v>10</v>
      </c>
      <c r="E16" s="4">
        <v>50000</v>
      </c>
      <c r="F16" s="4">
        <f>E16-'Wed Glow'!F17</f>
        <v>49994</v>
      </c>
    </row>
    <row r="17" spans="1:6">
      <c r="A17" s="77" t="s">
        <v>42</v>
      </c>
      <c r="B17" s="4" t="s">
        <v>43</v>
      </c>
      <c r="C17" s="4" t="s">
        <v>19</v>
      </c>
      <c r="D17" s="4" t="s">
        <v>10</v>
      </c>
      <c r="E17" s="4">
        <v>20000</v>
      </c>
      <c r="F17" s="4">
        <f>E17-'Wed Glow'!F3</f>
        <v>19994</v>
      </c>
    </row>
    <row r="18" spans="1:6">
      <c r="A18" s="77" t="s">
        <v>44</v>
      </c>
      <c r="B18" s="4" t="s">
        <v>45</v>
      </c>
      <c r="C18" s="4" t="s">
        <v>19</v>
      </c>
      <c r="D18" s="4" t="s">
        <v>10</v>
      </c>
      <c r="E18" s="4"/>
      <c r="F18" s="4"/>
    </row>
    <row r="19" spans="1:6">
      <c r="A19" s="77" t="s">
        <v>46</v>
      </c>
      <c r="B19" s="4" t="s">
        <v>47</v>
      </c>
      <c r="C19" s="4" t="s">
        <v>19</v>
      </c>
      <c r="D19" s="4" t="s">
        <v>10</v>
      </c>
      <c r="E19" s="4"/>
      <c r="F19" s="4"/>
    </row>
    <row r="20" spans="1:6">
      <c r="A20" s="77" t="s">
        <v>48</v>
      </c>
      <c r="B20" s="60" t="s">
        <v>49</v>
      </c>
      <c r="C20" s="3" t="s">
        <v>50</v>
      </c>
      <c r="D20" s="4" t="s">
        <v>51</v>
      </c>
      <c r="E20" s="21">
        <v>1000</v>
      </c>
      <c r="F20" s="4"/>
    </row>
    <row r="21" spans="1:6">
      <c r="A21" s="77" t="s">
        <v>52</v>
      </c>
      <c r="B21" s="45" t="s">
        <v>53</v>
      </c>
      <c r="C21" s="8" t="s">
        <v>50</v>
      </c>
      <c r="D21" s="4" t="s">
        <v>51</v>
      </c>
      <c r="E21" s="21">
        <v>1000</v>
      </c>
      <c r="F21" s="4"/>
    </row>
    <row r="22" spans="1:6">
      <c r="A22" s="77" t="s">
        <v>54</v>
      </c>
      <c r="B22" s="45" t="s">
        <v>55</v>
      </c>
      <c r="C22" s="8" t="s">
        <v>50</v>
      </c>
      <c r="D22" s="4" t="s">
        <v>51</v>
      </c>
      <c r="E22" s="21">
        <v>1000</v>
      </c>
      <c r="F22" s="4"/>
    </row>
    <row r="23" spans="1:6">
      <c r="A23" s="77" t="s">
        <v>56</v>
      </c>
      <c r="B23" s="45" t="s">
        <v>57</v>
      </c>
      <c r="C23" s="8" t="s">
        <v>50</v>
      </c>
      <c r="D23" s="4" t="s">
        <v>51</v>
      </c>
      <c r="E23" s="21">
        <v>1000</v>
      </c>
      <c r="F23" s="4"/>
    </row>
    <row r="24" spans="1:6">
      <c r="A24" s="77" t="s">
        <v>58</v>
      </c>
      <c r="B24" s="45" t="s">
        <v>59</v>
      </c>
      <c r="C24" s="8" t="s">
        <v>50</v>
      </c>
      <c r="D24" s="4" t="s">
        <v>51</v>
      </c>
      <c r="E24" s="21">
        <v>3000</v>
      </c>
      <c r="F24" s="4"/>
    </row>
    <row r="25" spans="1:6">
      <c r="A25" s="77" t="s">
        <v>60</v>
      </c>
      <c r="B25" s="45" t="s">
        <v>61</v>
      </c>
      <c r="C25" s="8" t="s">
        <v>50</v>
      </c>
      <c r="D25" s="4" t="s">
        <v>51</v>
      </c>
      <c r="E25" s="21">
        <v>1000</v>
      </c>
      <c r="F25" s="4"/>
    </row>
    <row r="26" spans="1:6">
      <c r="A26" s="77" t="s">
        <v>62</v>
      </c>
      <c r="B26" s="45" t="s">
        <v>63</v>
      </c>
      <c r="C26" s="1" t="s">
        <v>29</v>
      </c>
      <c r="D26" s="4" t="s">
        <v>51</v>
      </c>
      <c r="E26" s="68">
        <v>12000</v>
      </c>
    </row>
    <row r="27" spans="1:6">
      <c r="A27" s="77" t="s">
        <v>64</v>
      </c>
      <c r="B27" s="45" t="s">
        <v>65</v>
      </c>
      <c r="C27" s="8" t="s">
        <v>66</v>
      </c>
      <c r="D27" s="4" t="s">
        <v>51</v>
      </c>
      <c r="E27" s="21">
        <v>15000</v>
      </c>
    </row>
    <row r="28" spans="1:6">
      <c r="A28" s="77" t="s">
        <v>67</v>
      </c>
      <c r="B28" s="45" t="s">
        <v>68</v>
      </c>
      <c r="C28" s="66" t="s">
        <v>69</v>
      </c>
      <c r="D28" s="4" t="s">
        <v>51</v>
      </c>
      <c r="E28" s="21">
        <v>4000</v>
      </c>
      <c r="F28" s="4">
        <f>E28-'Ete Bride'!F10</f>
        <v>3994</v>
      </c>
    </row>
    <row r="29" spans="1:6">
      <c r="A29" s="77" t="s">
        <v>70</v>
      </c>
      <c r="B29" s="67" t="s">
        <v>71</v>
      </c>
      <c r="C29" s="4" t="s">
        <v>69</v>
      </c>
      <c r="D29" s="4" t="s">
        <v>51</v>
      </c>
      <c r="E29" s="21">
        <v>6000</v>
      </c>
      <c r="F29" s="4">
        <f>E29-'Adv Kor'!F14-'Ete Bride'!F14-'Wed Glow'!F11</f>
        <v>5997</v>
      </c>
    </row>
    <row r="30" spans="1:6">
      <c r="A30" s="77" t="s">
        <v>72</v>
      </c>
      <c r="B30" s="4" t="s">
        <v>73</v>
      </c>
      <c r="C30" s="4" t="s">
        <v>69</v>
      </c>
      <c r="D30" s="4" t="s">
        <v>51</v>
      </c>
      <c r="E30" s="21">
        <v>10000</v>
      </c>
      <c r="F30" s="4">
        <f>E30-'Adv Kor'!F19-'Ete Bride'!F19-'Wed Glow'!F16</f>
        <v>9982</v>
      </c>
    </row>
    <row r="31" spans="1:6">
      <c r="A31" s="77" t="s">
        <v>74</v>
      </c>
      <c r="B31" s="3" t="s">
        <v>75</v>
      </c>
      <c r="C31" s="4">
        <v>1</v>
      </c>
      <c r="D31" s="4" t="s">
        <v>76</v>
      </c>
      <c r="E31" s="21">
        <v>20000</v>
      </c>
      <c r="F31" s="4">
        <f>E31-'Adv Kor'!F15-'Ete Bride'!F15-'Wed Glow'!F12</f>
        <v>19997</v>
      </c>
    </row>
    <row r="32" spans="1:6">
      <c r="A32" s="77" t="s">
        <v>77</v>
      </c>
      <c r="B32" s="4" t="s">
        <v>78</v>
      </c>
      <c r="C32" s="4">
        <v>1</v>
      </c>
      <c r="D32" s="4" t="s">
        <v>79</v>
      </c>
      <c r="E32" s="21">
        <v>13400</v>
      </c>
      <c r="F32" s="4">
        <f>E32-'Adv Kor'!F16-'Ete Bride'!F16-'Wed Glow'!F13</f>
        <v>13397</v>
      </c>
    </row>
    <row r="33" spans="1:6">
      <c r="A33" s="77" t="s">
        <v>80</v>
      </c>
      <c r="B33" s="3" t="s">
        <v>81</v>
      </c>
      <c r="C33" s="4">
        <v>1</v>
      </c>
      <c r="D33" s="4" t="s">
        <v>82</v>
      </c>
      <c r="E33" s="21">
        <v>10000</v>
      </c>
      <c r="F33" s="4">
        <f>E33-'Adv Kor'!F17-'Ete Bride'!F17-'Wed Glow'!F14</f>
        <v>9997</v>
      </c>
    </row>
    <row r="34" spans="1:6">
      <c r="A34" s="77" t="s">
        <v>83</v>
      </c>
      <c r="B34" s="3" t="s">
        <v>84</v>
      </c>
      <c r="C34" s="4">
        <v>1</v>
      </c>
      <c r="D34" s="4" t="s">
        <v>85</v>
      </c>
      <c r="E34" s="21">
        <v>19700</v>
      </c>
      <c r="F34" s="4">
        <f>E34-'Adv Kor'!F18-'Ete Bride'!F18-'Wed Glow'!F15</f>
        <v>19682</v>
      </c>
    </row>
    <row r="35" spans="1:6">
      <c r="A35" s="77" t="s">
        <v>86</v>
      </c>
      <c r="B35" s="59" t="s">
        <v>87</v>
      </c>
      <c r="C35" s="4">
        <v>1</v>
      </c>
      <c r="D35" s="4" t="s">
        <v>88</v>
      </c>
      <c r="E35" s="21">
        <v>38800</v>
      </c>
      <c r="F35" s="4"/>
    </row>
    <row r="36" spans="1:6">
      <c r="A36" s="77" t="s">
        <v>89</v>
      </c>
      <c r="B36" s="46" t="s">
        <v>90</v>
      </c>
      <c r="C36" s="66">
        <v>1</v>
      </c>
      <c r="D36" s="4" t="s">
        <v>91</v>
      </c>
      <c r="E36" s="36">
        <v>4800</v>
      </c>
      <c r="F36" s="4"/>
    </row>
    <row r="37" spans="1:6">
      <c r="A37" s="77" t="s">
        <v>92</v>
      </c>
      <c r="B37" s="46" t="s">
        <v>93</v>
      </c>
      <c r="C37" s="66">
        <v>1</v>
      </c>
      <c r="D37" s="4" t="s">
        <v>94</v>
      </c>
      <c r="E37" s="36">
        <v>5000</v>
      </c>
      <c r="F37" s="4"/>
    </row>
    <row r="38" spans="1:6">
      <c r="A38" s="15" t="s">
        <v>95</v>
      </c>
      <c r="B38" s="72" t="s">
        <v>96</v>
      </c>
      <c r="C38" s="4" t="s">
        <v>97</v>
      </c>
      <c r="D38" s="4" t="s">
        <v>98</v>
      </c>
      <c r="E38" s="36">
        <v>8000</v>
      </c>
      <c r="F38" s="4">
        <f>'Prd Code'!E38-'Adv Kor'!F3</f>
        <v>7994</v>
      </c>
    </row>
    <row r="39" spans="1:6">
      <c r="A39" s="15" t="s">
        <v>99</v>
      </c>
      <c r="B39" s="3" t="s">
        <v>100</v>
      </c>
      <c r="C39" s="4" t="s">
        <v>97</v>
      </c>
      <c r="D39" s="4" t="s">
        <v>98</v>
      </c>
      <c r="E39" s="36">
        <v>8000</v>
      </c>
      <c r="F39" s="4">
        <f>'Prd Code'!E39-'Adv Kor'!F4</f>
        <v>7994</v>
      </c>
    </row>
    <row r="40" spans="1:6">
      <c r="A40" s="15" t="s">
        <v>101</v>
      </c>
      <c r="B40" s="3" t="s">
        <v>102</v>
      </c>
      <c r="C40" s="4">
        <v>1</v>
      </c>
      <c r="D40" s="4" t="s">
        <v>98</v>
      </c>
      <c r="E40" s="36">
        <v>8125</v>
      </c>
      <c r="F40" s="4">
        <f>'Prd Code'!E40-'Adv Kor'!F5</f>
        <v>8119</v>
      </c>
    </row>
    <row r="41" spans="1:6">
      <c r="A41" s="15" t="s">
        <v>103</v>
      </c>
      <c r="B41" s="3" t="s">
        <v>104</v>
      </c>
      <c r="C41" s="4" t="s">
        <v>105</v>
      </c>
      <c r="D41" s="4" t="s">
        <v>98</v>
      </c>
      <c r="E41" s="36">
        <v>8125</v>
      </c>
      <c r="F41" s="4">
        <f>'Prd Code'!E41-'Adv Kor'!F6</f>
        <v>8119</v>
      </c>
    </row>
    <row r="42" spans="1:6">
      <c r="A42" s="15" t="s">
        <v>106</v>
      </c>
      <c r="B42" s="3" t="s">
        <v>107</v>
      </c>
      <c r="C42" s="4" t="s">
        <v>108</v>
      </c>
      <c r="D42" s="4" t="s">
        <v>98</v>
      </c>
      <c r="E42" s="36">
        <v>8125</v>
      </c>
      <c r="F42" s="4">
        <f>'Prd Code'!E42-'Adv Kor'!F7</f>
        <v>8119</v>
      </c>
    </row>
    <row r="43" spans="1:6">
      <c r="A43" s="15" t="s">
        <v>109</v>
      </c>
      <c r="B43" s="3" t="s">
        <v>110</v>
      </c>
      <c r="C43" s="4" t="s">
        <v>108</v>
      </c>
      <c r="D43" s="4" t="s">
        <v>98</v>
      </c>
      <c r="E43" s="36">
        <v>8125</v>
      </c>
      <c r="F43" s="4">
        <f>'Prd Code'!E43-'Adv Kor'!F10</f>
        <v>8119</v>
      </c>
    </row>
    <row r="44" spans="1:6">
      <c r="A44" s="4" t="s">
        <v>111</v>
      </c>
      <c r="B44" s="3" t="s">
        <v>112</v>
      </c>
      <c r="C44" s="4">
        <v>1</v>
      </c>
      <c r="D44" s="4" t="s">
        <v>113</v>
      </c>
      <c r="E44" s="36">
        <v>4300</v>
      </c>
      <c r="F44" s="4">
        <f>'Prd Code'!E44-'Adv Kor'!F11</f>
        <v>4294</v>
      </c>
    </row>
    <row r="45" spans="1:6">
      <c r="A45" s="15" t="s">
        <v>114</v>
      </c>
      <c r="B45" s="3" t="s">
        <v>115</v>
      </c>
      <c r="C45" s="4" t="s">
        <v>97</v>
      </c>
      <c r="D45" s="4" t="s">
        <v>98</v>
      </c>
      <c r="E45" s="36">
        <v>10625</v>
      </c>
      <c r="F45" s="4" t="e">
        <f>#REF!-'Ete Bride'!F3</f>
        <v>#REF!</v>
      </c>
    </row>
    <row r="46" spans="1:6">
      <c r="A46" s="15" t="s">
        <v>116</v>
      </c>
      <c r="B46" s="3" t="s">
        <v>117</v>
      </c>
      <c r="C46" s="4" t="s">
        <v>118</v>
      </c>
      <c r="D46" s="4" t="s">
        <v>98</v>
      </c>
      <c r="E46" s="36">
        <v>10625</v>
      </c>
      <c r="F46" s="4" t="e">
        <f>#REF!-'Ete Bride'!F4</f>
        <v>#REF!</v>
      </c>
    </row>
    <row r="47" spans="1:6">
      <c r="A47" s="15" t="s">
        <v>119</v>
      </c>
      <c r="B47" s="3" t="s">
        <v>120</v>
      </c>
      <c r="C47" s="4" t="s">
        <v>108</v>
      </c>
      <c r="D47" s="4" t="s">
        <v>98</v>
      </c>
      <c r="E47" s="36">
        <v>8875</v>
      </c>
      <c r="F47" s="4" t="e">
        <f>#REF!-'Ete Bride'!F5</f>
        <v>#REF!</v>
      </c>
    </row>
    <row r="48" spans="1:6">
      <c r="A48" s="15" t="s">
        <v>121</v>
      </c>
      <c r="B48" s="3" t="s">
        <v>122</v>
      </c>
      <c r="C48" s="4" t="s">
        <v>108</v>
      </c>
      <c r="D48" s="4" t="s">
        <v>98</v>
      </c>
      <c r="E48" s="36">
        <v>8875</v>
      </c>
      <c r="F48" s="4" t="e">
        <f>#REF!-'Ete Bride'!F8</f>
        <v>#REF!</v>
      </c>
    </row>
    <row r="49" spans="1:7">
      <c r="A49" s="3" t="s">
        <v>123</v>
      </c>
      <c r="B49" s="3" t="s">
        <v>124</v>
      </c>
      <c r="C49" s="4">
        <v>1</v>
      </c>
      <c r="D49" s="4" t="s">
        <v>113</v>
      </c>
      <c r="E49" s="36">
        <v>4850</v>
      </c>
      <c r="F49" s="4">
        <f>E49-'Ete Bride'!F9</f>
        <v>4844</v>
      </c>
    </row>
    <row r="50" spans="1:7">
      <c r="A50" t="s">
        <v>125</v>
      </c>
      <c r="B50" s="3" t="s">
        <v>126</v>
      </c>
      <c r="C50" s="4" t="s">
        <v>127</v>
      </c>
      <c r="D50" s="4" t="s">
        <v>113</v>
      </c>
      <c r="E50" s="36">
        <v>4850</v>
      </c>
      <c r="F50" s="4">
        <f>E50-'Ete Bride'!F11</f>
        <v>4844</v>
      </c>
    </row>
    <row r="51" spans="1:7">
      <c r="A51" s="15" t="s">
        <v>128</v>
      </c>
      <c r="B51" s="3" t="s">
        <v>129</v>
      </c>
      <c r="C51" s="4" t="s">
        <v>108</v>
      </c>
      <c r="D51" s="4" t="s">
        <v>98</v>
      </c>
      <c r="E51" s="36">
        <v>6875</v>
      </c>
      <c r="F51" s="4">
        <f>E51-'Wed Glow'!F4</f>
        <v>6869</v>
      </c>
    </row>
    <row r="52" spans="1:7">
      <c r="A52" s="15" t="s">
        <v>130</v>
      </c>
      <c r="B52" s="3" t="s">
        <v>131</v>
      </c>
      <c r="C52" s="4" t="s">
        <v>108</v>
      </c>
      <c r="D52" s="4" t="s">
        <v>98</v>
      </c>
      <c r="E52" s="36">
        <v>7500</v>
      </c>
      <c r="F52" s="4">
        <f>E52-'Wed Glow'!F7</f>
        <v>7494</v>
      </c>
    </row>
    <row r="53" spans="1:7">
      <c r="A53" s="3" t="s">
        <v>132</v>
      </c>
      <c r="B53" s="3" t="s">
        <v>133</v>
      </c>
      <c r="C53" s="4" t="s">
        <v>127</v>
      </c>
      <c r="D53" s="4" t="s">
        <v>113</v>
      </c>
      <c r="E53" s="36">
        <v>4300</v>
      </c>
      <c r="F53" s="4">
        <f>E53-'Wed Glow'!F8</f>
        <v>4294</v>
      </c>
    </row>
    <row r="54" spans="1:7">
      <c r="A54" s="77" t="s">
        <v>134</v>
      </c>
      <c r="B54" s="3" t="s">
        <v>135</v>
      </c>
      <c r="C54" s="1" t="s">
        <v>105</v>
      </c>
      <c r="D54" s="4" t="s">
        <v>98</v>
      </c>
      <c r="G54" t="s">
        <v>136</v>
      </c>
    </row>
    <row r="55" spans="1:7">
      <c r="A55" s="77" t="s">
        <v>137</v>
      </c>
      <c r="B55" s="3" t="s">
        <v>138</v>
      </c>
      <c r="C55" s="1" t="s">
        <v>139</v>
      </c>
      <c r="D55" s="4" t="s">
        <v>98</v>
      </c>
      <c r="G55" t="s">
        <v>136</v>
      </c>
    </row>
    <row r="56" spans="1:7">
      <c r="A56" s="77" t="s">
        <v>140</v>
      </c>
      <c r="B56" s="3" t="s">
        <v>141</v>
      </c>
      <c r="C56" s="1" t="s">
        <v>142</v>
      </c>
      <c r="D56" s="4" t="s">
        <v>98</v>
      </c>
      <c r="G56" t="s">
        <v>136</v>
      </c>
    </row>
    <row r="57" spans="1:7">
      <c r="A57" s="77" t="s">
        <v>143</v>
      </c>
      <c r="B57" s="3" t="s">
        <v>144</v>
      </c>
      <c r="C57" s="1" t="s">
        <v>127</v>
      </c>
      <c r="D57" s="4" t="s">
        <v>113</v>
      </c>
      <c r="G57" t="s">
        <v>136</v>
      </c>
    </row>
    <row r="58" spans="1:7">
      <c r="A58" s="77" t="s">
        <v>145</v>
      </c>
      <c r="B58" s="3" t="s">
        <v>146</v>
      </c>
      <c r="C58" s="1" t="s">
        <v>127</v>
      </c>
      <c r="D58" s="4" t="s">
        <v>113</v>
      </c>
      <c r="G58" t="s">
        <v>136</v>
      </c>
    </row>
    <row r="59" spans="1:7">
      <c r="A59" s="77" t="s">
        <v>147</v>
      </c>
      <c r="B59" s="3" t="s">
        <v>148</v>
      </c>
      <c r="C59" s="1" t="s">
        <v>127</v>
      </c>
      <c r="D59" s="4" t="s">
        <v>113</v>
      </c>
      <c r="G59" t="s">
        <v>136</v>
      </c>
    </row>
    <row r="60" spans="1:7">
      <c r="A60" s="77" t="s">
        <v>149</v>
      </c>
      <c r="B60" s="3" t="s">
        <v>150</v>
      </c>
      <c r="C60" s="1" t="s">
        <v>127</v>
      </c>
      <c r="D60" s="4" t="s">
        <v>113</v>
      </c>
      <c r="G60" t="s">
        <v>136</v>
      </c>
    </row>
    <row r="61" spans="1:7">
      <c r="A61" s="77" t="s">
        <v>151</v>
      </c>
      <c r="B61" s="3" t="s">
        <v>152</v>
      </c>
      <c r="C61" s="1" t="s">
        <v>139</v>
      </c>
      <c r="D61" s="4" t="s">
        <v>98</v>
      </c>
      <c r="G61" t="s">
        <v>153</v>
      </c>
    </row>
    <row r="62" spans="1:7">
      <c r="A62" s="77" t="s">
        <v>154</v>
      </c>
      <c r="B62" s="3" t="s">
        <v>155</v>
      </c>
      <c r="C62" s="1" t="s">
        <v>108</v>
      </c>
      <c r="D62" s="4" t="s">
        <v>98</v>
      </c>
      <c r="G62" t="s">
        <v>153</v>
      </c>
    </row>
    <row r="63" spans="1:7">
      <c r="A63" s="77" t="s">
        <v>156</v>
      </c>
      <c r="B63" s="3" t="s">
        <v>157</v>
      </c>
      <c r="C63" s="1" t="s">
        <v>127</v>
      </c>
      <c r="D63" s="4" t="s">
        <v>113</v>
      </c>
      <c r="G63" t="s">
        <v>153</v>
      </c>
    </row>
    <row r="64" spans="1:7">
      <c r="A64" s="77" t="s">
        <v>158</v>
      </c>
      <c r="B64" s="3" t="s">
        <v>159</v>
      </c>
      <c r="C64" s="1" t="s">
        <v>127</v>
      </c>
      <c r="D64" s="4" t="s">
        <v>113</v>
      </c>
      <c r="G64" t="s">
        <v>153</v>
      </c>
    </row>
    <row r="65" spans="1:7">
      <c r="A65" s="77" t="s">
        <v>160</v>
      </c>
      <c r="B65" s="3" t="s">
        <v>161</v>
      </c>
      <c r="C65" s="1" t="s">
        <v>127</v>
      </c>
      <c r="D65" s="4" t="s">
        <v>113</v>
      </c>
      <c r="G65" t="s">
        <v>153</v>
      </c>
    </row>
    <row r="66" spans="1:7">
      <c r="A66" s="23" t="s">
        <v>162</v>
      </c>
      <c r="B66" s="24" t="s">
        <v>163</v>
      </c>
      <c r="C66" s="25" t="s">
        <v>97</v>
      </c>
      <c r="D66" s="26" t="s">
        <v>98</v>
      </c>
      <c r="E66" s="27">
        <v>20250</v>
      </c>
    </row>
    <row r="67" spans="1:7">
      <c r="A67" s="28" t="s">
        <v>164</v>
      </c>
      <c r="B67" s="29" t="s">
        <v>165</v>
      </c>
      <c r="C67" s="25" t="s">
        <v>97</v>
      </c>
      <c r="D67" s="26" t="s">
        <v>98</v>
      </c>
      <c r="E67" s="30">
        <v>22250</v>
      </c>
      <c r="F67" s="22"/>
    </row>
    <row r="68" spans="1:7">
      <c r="A68" s="28" t="s">
        <v>166</v>
      </c>
      <c r="B68" s="31" t="s">
        <v>167</v>
      </c>
      <c r="C68" s="25" t="s">
        <v>105</v>
      </c>
      <c r="D68" s="26" t="s">
        <v>98</v>
      </c>
      <c r="E68" s="30">
        <v>46500</v>
      </c>
    </row>
    <row r="69" spans="1:7">
      <c r="A69" t="s">
        <v>168</v>
      </c>
      <c r="B69" s="3" t="s">
        <v>169</v>
      </c>
      <c r="C69" s="1" t="s">
        <v>105</v>
      </c>
      <c r="D69" s="4" t="s">
        <v>98</v>
      </c>
      <c r="E69" s="36">
        <v>46250</v>
      </c>
    </row>
    <row r="70" spans="1:7">
      <c r="A70" s="3" t="s">
        <v>170</v>
      </c>
      <c r="B70" s="3" t="s">
        <v>171</v>
      </c>
      <c r="C70" s="1" t="s">
        <v>172</v>
      </c>
      <c r="D70" s="4" t="s">
        <v>98</v>
      </c>
      <c r="E70" s="36">
        <v>45870</v>
      </c>
    </row>
    <row r="71" spans="1:7">
      <c r="A71" s="37" t="s">
        <v>173</v>
      </c>
      <c r="B71" s="31" t="s">
        <v>174</v>
      </c>
      <c r="C71" s="25" t="s">
        <v>108</v>
      </c>
      <c r="D71" s="26" t="s">
        <v>98</v>
      </c>
      <c r="E71" s="38">
        <v>20370</v>
      </c>
    </row>
    <row r="72" spans="1:7">
      <c r="A72" t="s">
        <v>175</v>
      </c>
      <c r="B72" s="3" t="s">
        <v>176</v>
      </c>
      <c r="C72" s="1" t="s">
        <v>108</v>
      </c>
      <c r="D72" s="4" t="s">
        <v>98</v>
      </c>
      <c r="E72" s="36">
        <v>10620</v>
      </c>
    </row>
    <row r="73" spans="1:7">
      <c r="A73" s="28" t="s">
        <v>177</v>
      </c>
      <c r="B73" s="31" t="s">
        <v>178</v>
      </c>
      <c r="C73" s="25" t="s">
        <v>108</v>
      </c>
      <c r="D73" s="26" t="s">
        <v>98</v>
      </c>
      <c r="E73" s="30">
        <v>22500</v>
      </c>
    </row>
    <row r="74" spans="1:7">
      <c r="A74" t="s">
        <v>179</v>
      </c>
      <c r="B74" s="3" t="s">
        <v>180</v>
      </c>
      <c r="C74" s="1" t="s">
        <v>108</v>
      </c>
      <c r="D74" s="4" t="s">
        <v>98</v>
      </c>
      <c r="E74" s="36">
        <v>12250</v>
      </c>
    </row>
    <row r="75" spans="1:7">
      <c r="A75" s="26" t="s">
        <v>181</v>
      </c>
      <c r="B75" s="31" t="s">
        <v>182</v>
      </c>
      <c r="C75" s="25" t="s">
        <v>108</v>
      </c>
      <c r="D75" s="26" t="s">
        <v>98</v>
      </c>
      <c r="E75" s="32">
        <v>9500</v>
      </c>
    </row>
    <row r="76" spans="1:7">
      <c r="A76" t="s">
        <v>183</v>
      </c>
      <c r="B76" s="3" t="s">
        <v>184</v>
      </c>
      <c r="C76" s="1" t="s">
        <v>108</v>
      </c>
      <c r="D76" s="4" t="s">
        <v>98</v>
      </c>
      <c r="E76" s="36">
        <v>10000</v>
      </c>
    </row>
    <row r="77" spans="1:7">
      <c r="A77" s="21" t="s">
        <v>185</v>
      </c>
      <c r="B77" s="33" t="s">
        <v>186</v>
      </c>
      <c r="C77" s="34" t="s">
        <v>187</v>
      </c>
      <c r="D77" s="21" t="s">
        <v>98</v>
      </c>
      <c r="E77" s="21">
        <v>15625</v>
      </c>
    </row>
    <row r="78" spans="1:7">
      <c r="A78" s="26" t="s">
        <v>188</v>
      </c>
      <c r="B78" s="35" t="s">
        <v>189</v>
      </c>
      <c r="C78" s="25" t="s">
        <v>187</v>
      </c>
      <c r="D78" s="26" t="s">
        <v>98</v>
      </c>
      <c r="E78" s="26">
        <v>5100</v>
      </c>
    </row>
    <row r="79" spans="1:7">
      <c r="A79" s="21" t="s">
        <v>190</v>
      </c>
      <c r="B79" s="33" t="s">
        <v>191</v>
      </c>
      <c r="C79" s="34" t="s">
        <v>192</v>
      </c>
      <c r="D79" s="21" t="s">
        <v>98</v>
      </c>
      <c r="E79" s="21">
        <v>24620</v>
      </c>
    </row>
    <row r="80" spans="1:7">
      <c r="A80" s="23" t="s">
        <v>193</v>
      </c>
      <c r="B80" s="31" t="s">
        <v>194</v>
      </c>
      <c r="C80" s="25" t="s">
        <v>192</v>
      </c>
      <c r="D80" s="26" t="s">
        <v>98</v>
      </c>
      <c r="E80" s="27">
        <v>25245</v>
      </c>
    </row>
    <row r="81" spans="1:7">
      <c r="A81" s="28" t="s">
        <v>195</v>
      </c>
      <c r="B81" s="31" t="s">
        <v>196</v>
      </c>
      <c r="C81" s="25" t="s">
        <v>192</v>
      </c>
      <c r="D81" s="26" t="s">
        <v>98</v>
      </c>
      <c r="E81" s="30">
        <v>25000</v>
      </c>
    </row>
    <row r="82" spans="1:7">
      <c r="A82" s="26" t="s">
        <v>197</v>
      </c>
      <c r="B82" s="31" t="s">
        <v>198</v>
      </c>
      <c r="C82" s="25" t="s">
        <v>199</v>
      </c>
      <c r="D82" s="26" t="s">
        <v>98</v>
      </c>
      <c r="E82" s="26">
        <v>15625</v>
      </c>
    </row>
    <row r="83" spans="1:7">
      <c r="A83" s="28" t="s">
        <v>200</v>
      </c>
      <c r="B83" s="31" t="s">
        <v>201</v>
      </c>
      <c r="C83" s="25" t="s">
        <v>127</v>
      </c>
      <c r="D83" s="26" t="s">
        <v>113</v>
      </c>
      <c r="E83" s="30">
        <v>6600</v>
      </c>
    </row>
    <row r="84" spans="1:7">
      <c r="A84" s="26" t="s">
        <v>202</v>
      </c>
      <c r="B84" s="31" t="s">
        <v>203</v>
      </c>
      <c r="C84" s="25" t="s">
        <v>199</v>
      </c>
      <c r="D84" s="26" t="s">
        <v>98</v>
      </c>
      <c r="E84" s="26">
        <v>5100</v>
      </c>
    </row>
    <row r="85" spans="1:7">
      <c r="A85" s="28" t="s">
        <v>204</v>
      </c>
      <c r="B85" s="31" t="s">
        <v>205</v>
      </c>
      <c r="C85" s="25" t="s">
        <v>127</v>
      </c>
      <c r="D85" s="26" t="s">
        <v>113</v>
      </c>
      <c r="E85" s="30">
        <v>7250</v>
      </c>
    </row>
    <row r="86" spans="1:7">
      <c r="A86" s="28" t="s">
        <v>206</v>
      </c>
      <c r="B86" s="31" t="s">
        <v>207</v>
      </c>
      <c r="C86" s="25" t="s">
        <v>127</v>
      </c>
      <c r="D86" s="26" t="s">
        <v>113</v>
      </c>
      <c r="E86" s="30">
        <v>5200</v>
      </c>
    </row>
    <row r="87" spans="1:7">
      <c r="A87" s="77" t="s">
        <v>208</v>
      </c>
      <c r="B87" s="3" t="s">
        <v>209</v>
      </c>
      <c r="C87" s="1" t="s">
        <v>69</v>
      </c>
      <c r="D87" s="4" t="s">
        <v>98</v>
      </c>
      <c r="G87" t="s">
        <v>210</v>
      </c>
    </row>
    <row r="88" spans="1:7">
      <c r="A88" s="77" t="s">
        <v>211</v>
      </c>
      <c r="B88" s="3" t="s">
        <v>212</v>
      </c>
      <c r="C88" s="1" t="s">
        <v>69</v>
      </c>
      <c r="D88" s="4" t="s">
        <v>98</v>
      </c>
      <c r="G88" t="s">
        <v>210</v>
      </c>
    </row>
    <row r="89" spans="1:7">
      <c r="A89" s="77" t="s">
        <v>213</v>
      </c>
      <c r="B89" s="3" t="s">
        <v>214</v>
      </c>
      <c r="C89" s="1">
        <v>1</v>
      </c>
      <c r="D89" s="4" t="s">
        <v>113</v>
      </c>
      <c r="G89" t="s">
        <v>210</v>
      </c>
    </row>
    <row r="90" spans="1:7">
      <c r="A90" s="77" t="s">
        <v>215</v>
      </c>
      <c r="B90" s="3" t="s">
        <v>216</v>
      </c>
      <c r="C90" s="1" t="s">
        <v>217</v>
      </c>
      <c r="D90" s="4" t="s">
        <v>98</v>
      </c>
      <c r="G90" t="s">
        <v>218</v>
      </c>
    </row>
    <row r="91" spans="1:7">
      <c r="A91" s="77" t="s">
        <v>219</v>
      </c>
      <c r="B91" s="3" t="s">
        <v>220</v>
      </c>
      <c r="C91" s="1" t="s">
        <v>69</v>
      </c>
      <c r="D91" s="4" t="s">
        <v>98</v>
      </c>
      <c r="G91" t="s">
        <v>218</v>
      </c>
    </row>
    <row r="92" spans="1:7">
      <c r="A92" s="77" t="s">
        <v>221</v>
      </c>
      <c r="B92" s="3" t="s">
        <v>222</v>
      </c>
      <c r="C92" s="1" t="s">
        <v>69</v>
      </c>
      <c r="D92" s="4" t="s">
        <v>98</v>
      </c>
      <c r="G92" t="s">
        <v>218</v>
      </c>
    </row>
    <row r="93" spans="1:7">
      <c r="A93" s="79" t="s">
        <v>223</v>
      </c>
      <c r="B93" s="31" t="s">
        <v>224</v>
      </c>
      <c r="C93" s="25" t="s">
        <v>217</v>
      </c>
      <c r="D93" s="26" t="s">
        <v>98</v>
      </c>
      <c r="E93" s="41">
        <v>16620</v>
      </c>
      <c r="G93" t="s">
        <v>218</v>
      </c>
    </row>
    <row r="94" spans="1:7">
      <c r="A94" s="77" t="s">
        <v>225</v>
      </c>
      <c r="B94" s="3" t="s">
        <v>226</v>
      </c>
      <c r="C94" s="1">
        <v>1</v>
      </c>
      <c r="D94" s="4" t="s">
        <v>113</v>
      </c>
      <c r="G94" t="s">
        <v>218</v>
      </c>
    </row>
    <row r="95" spans="1:7">
      <c r="A95" s="77" t="s">
        <v>227</v>
      </c>
      <c r="B95" s="3" t="s">
        <v>228</v>
      </c>
      <c r="C95" s="1" t="s">
        <v>217</v>
      </c>
      <c r="D95" s="4" t="s">
        <v>98</v>
      </c>
      <c r="G95" t="s">
        <v>229</v>
      </c>
    </row>
    <row r="96" spans="1:7">
      <c r="A96" s="77" t="s">
        <v>230</v>
      </c>
      <c r="B96" s="3" t="s">
        <v>231</v>
      </c>
      <c r="C96" s="1" t="s">
        <v>69</v>
      </c>
      <c r="D96" s="4" t="s">
        <v>98</v>
      </c>
      <c r="G96" t="s">
        <v>229</v>
      </c>
    </row>
    <row r="97" spans="1:7">
      <c r="A97" t="s">
        <v>232</v>
      </c>
      <c r="B97" s="3" t="s">
        <v>233</v>
      </c>
      <c r="C97" s="1" t="s">
        <v>217</v>
      </c>
      <c r="D97" s="4" t="s">
        <v>98</v>
      </c>
      <c r="E97" s="36">
        <v>16620</v>
      </c>
      <c r="G97" t="s">
        <v>229</v>
      </c>
    </row>
    <row r="98" spans="1:7">
      <c r="A98" s="3" t="s">
        <v>234</v>
      </c>
      <c r="B98" s="3" t="s">
        <v>235</v>
      </c>
      <c r="C98" s="1" t="s">
        <v>142</v>
      </c>
      <c r="D98" s="4" t="s">
        <v>98</v>
      </c>
      <c r="E98" s="36">
        <v>16620</v>
      </c>
      <c r="G98" t="s">
        <v>229</v>
      </c>
    </row>
    <row r="99" spans="1:7">
      <c r="A99" s="3" t="s">
        <v>236</v>
      </c>
      <c r="B99" s="3" t="s">
        <v>237</v>
      </c>
      <c r="C99" s="1" t="s">
        <v>238</v>
      </c>
      <c r="D99" s="4" t="s">
        <v>98</v>
      </c>
      <c r="E99" s="36">
        <v>16740</v>
      </c>
      <c r="G99" t="s">
        <v>229</v>
      </c>
    </row>
    <row r="100" spans="1:7">
      <c r="A100" s="37" t="s">
        <v>239</v>
      </c>
      <c r="B100" s="31" t="s">
        <v>240</v>
      </c>
      <c r="C100" s="25">
        <v>1</v>
      </c>
      <c r="D100" s="26" t="s">
        <v>98</v>
      </c>
      <c r="E100" s="38">
        <v>15500</v>
      </c>
      <c r="G100" t="s">
        <v>229</v>
      </c>
    </row>
    <row r="101" spans="1:7">
      <c r="A101" s="36" t="s">
        <v>241</v>
      </c>
      <c r="B101" s="33" t="s">
        <v>242</v>
      </c>
      <c r="C101" s="62" t="s">
        <v>243</v>
      </c>
      <c r="D101" s="21" t="s">
        <v>113</v>
      </c>
      <c r="E101" s="63">
        <v>15500</v>
      </c>
      <c r="G101" t="s">
        <v>229</v>
      </c>
    </row>
    <row r="102" spans="1:7">
      <c r="A102" s="77" t="s">
        <v>244</v>
      </c>
      <c r="B102" s="3" t="s">
        <v>245</v>
      </c>
      <c r="C102" s="1" t="s">
        <v>217</v>
      </c>
      <c r="D102" s="4" t="s">
        <v>98</v>
      </c>
    </row>
    <row r="103" spans="1:7">
      <c r="A103" s="77" t="s">
        <v>246</v>
      </c>
      <c r="B103" s="3" t="s">
        <v>247</v>
      </c>
      <c r="C103" s="1" t="s">
        <v>142</v>
      </c>
      <c r="D103" s="4" t="s">
        <v>98</v>
      </c>
    </row>
    <row r="104" spans="1:7">
      <c r="A104" s="77" t="s">
        <v>248</v>
      </c>
      <c r="B104" s="3" t="s">
        <v>249</v>
      </c>
      <c r="C104" s="1" t="s">
        <v>142</v>
      </c>
      <c r="D104" s="4" t="s">
        <v>98</v>
      </c>
    </row>
    <row r="105" spans="1:7">
      <c r="A105" s="77" t="s">
        <v>250</v>
      </c>
      <c r="B105" s="3" t="s">
        <v>251</v>
      </c>
      <c r="C105" s="1" t="s">
        <v>69</v>
      </c>
      <c r="D105" s="4" t="s">
        <v>98</v>
      </c>
    </row>
    <row r="106" spans="1:7">
      <c r="A106" s="77" t="s">
        <v>252</v>
      </c>
      <c r="B106" s="3" t="s">
        <v>253</v>
      </c>
      <c r="C106" s="1" t="s">
        <v>69</v>
      </c>
      <c r="D106" s="4" t="s">
        <v>98</v>
      </c>
    </row>
    <row r="107" spans="1:7">
      <c r="A107" s="77" t="s">
        <v>254</v>
      </c>
      <c r="B107" s="3" t="s">
        <v>255</v>
      </c>
      <c r="C107" s="1" t="s">
        <v>69</v>
      </c>
      <c r="D107" s="4" t="s">
        <v>98</v>
      </c>
    </row>
    <row r="108" spans="1:7">
      <c r="A108" s="77" t="s">
        <v>256</v>
      </c>
      <c r="B108" s="3" t="s">
        <v>257</v>
      </c>
      <c r="C108" s="1" t="s">
        <v>69</v>
      </c>
      <c r="D108" s="4" t="s">
        <v>98</v>
      </c>
    </row>
    <row r="109" spans="1:7">
      <c r="A109" s="77" t="s">
        <v>258</v>
      </c>
      <c r="B109" s="3" t="s">
        <v>163</v>
      </c>
      <c r="C109" s="1" t="s">
        <v>217</v>
      </c>
      <c r="D109" s="4" t="s">
        <v>98</v>
      </c>
    </row>
    <row r="110" spans="1:7" ht="18" customHeight="1">
      <c r="A110" s="77" t="s">
        <v>259</v>
      </c>
      <c r="B110" s="3" t="s">
        <v>260</v>
      </c>
      <c r="C110" s="1" t="s">
        <v>142</v>
      </c>
      <c r="D110" s="4" t="s">
        <v>98</v>
      </c>
    </row>
    <row r="111" spans="1:7">
      <c r="A111" s="77" t="s">
        <v>261</v>
      </c>
      <c r="B111" s="3" t="s">
        <v>262</v>
      </c>
      <c r="C111" s="1" t="s">
        <v>108</v>
      </c>
      <c r="D111" s="4" t="s">
        <v>98</v>
      </c>
    </row>
    <row r="112" spans="1:7">
      <c r="A112" s="77" t="s">
        <v>263</v>
      </c>
      <c r="B112" s="3" t="s">
        <v>264</v>
      </c>
      <c r="C112" s="1" t="s">
        <v>217</v>
      </c>
      <c r="D112" s="4" t="s">
        <v>98</v>
      </c>
    </row>
    <row r="113" spans="1:6">
      <c r="A113" s="77" t="s">
        <v>265</v>
      </c>
      <c r="B113" s="3" t="s">
        <v>266</v>
      </c>
      <c r="C113" s="1" t="s">
        <v>108</v>
      </c>
      <c r="D113" s="4" t="s">
        <v>98</v>
      </c>
    </row>
    <row r="114" spans="1:6">
      <c r="A114" s="77" t="s">
        <v>267</v>
      </c>
      <c r="B114" s="59" t="s">
        <v>268</v>
      </c>
      <c r="C114" s="1" t="s">
        <v>108</v>
      </c>
      <c r="D114" s="60" t="s">
        <v>98</v>
      </c>
    </row>
    <row r="115" spans="1:6">
      <c r="A115" s="45" t="s">
        <v>269</v>
      </c>
      <c r="B115" s="46" t="s">
        <v>270</v>
      </c>
      <c r="C115" s="46" t="s">
        <v>108</v>
      </c>
      <c r="D115" s="45" t="s">
        <v>98</v>
      </c>
      <c r="E115" s="36">
        <v>8700</v>
      </c>
    </row>
    <row r="116" spans="1:6">
      <c r="A116" s="45" t="s">
        <v>271</v>
      </c>
      <c r="B116" s="46" t="s">
        <v>272</v>
      </c>
      <c r="C116" s="46" t="s">
        <v>187</v>
      </c>
      <c r="D116" s="45" t="s">
        <v>98</v>
      </c>
      <c r="E116" s="36">
        <v>8700</v>
      </c>
    </row>
    <row r="117" spans="1:6">
      <c r="A117" s="45" t="s">
        <v>273</v>
      </c>
      <c r="B117" s="46" t="s">
        <v>274</v>
      </c>
      <c r="C117" s="46" t="s">
        <v>187</v>
      </c>
      <c r="D117" s="45" t="s">
        <v>98</v>
      </c>
      <c r="E117" s="36">
        <v>8700</v>
      </c>
    </row>
    <row r="118" spans="1:6">
      <c r="A118" s="45" t="s">
        <v>275</v>
      </c>
      <c r="B118" s="46" t="s">
        <v>276</v>
      </c>
      <c r="C118" s="46" t="s">
        <v>187</v>
      </c>
      <c r="D118" s="45" t="s">
        <v>98</v>
      </c>
      <c r="E118" s="36">
        <v>8700</v>
      </c>
    </row>
    <row r="119" spans="1:6">
      <c r="A119" s="45" t="s">
        <v>277</v>
      </c>
      <c r="B119" s="46" t="s">
        <v>278</v>
      </c>
      <c r="C119" s="46" t="s">
        <v>187</v>
      </c>
      <c r="D119" s="45" t="s">
        <v>98</v>
      </c>
      <c r="E119" s="36">
        <v>8700</v>
      </c>
    </row>
    <row r="120" spans="1:6">
      <c r="A120" s="45" t="s">
        <v>279</v>
      </c>
      <c r="B120" s="46" t="s">
        <v>280</v>
      </c>
      <c r="C120" s="46" t="s">
        <v>108</v>
      </c>
      <c r="D120" s="45" t="s">
        <v>98</v>
      </c>
      <c r="E120" s="36">
        <v>8700</v>
      </c>
    </row>
    <row r="121" spans="1:6">
      <c r="A121" s="45" t="s">
        <v>281</v>
      </c>
      <c r="B121" s="46" t="s">
        <v>282</v>
      </c>
      <c r="C121" s="46" t="s">
        <v>108</v>
      </c>
      <c r="D121" s="45" t="s">
        <v>98</v>
      </c>
      <c r="E121" s="36">
        <v>8700</v>
      </c>
    </row>
    <row r="122" spans="1:6">
      <c r="A122" s="45" t="s">
        <v>283</v>
      </c>
      <c r="B122" s="46" t="s">
        <v>284</v>
      </c>
      <c r="C122" s="45" t="s">
        <v>127</v>
      </c>
      <c r="D122" s="45" t="s">
        <v>113</v>
      </c>
      <c r="E122" s="36">
        <v>9144</v>
      </c>
    </row>
    <row r="123" spans="1:6">
      <c r="A123" s="47" t="s">
        <v>285</v>
      </c>
      <c r="B123" s="46" t="s">
        <v>286</v>
      </c>
      <c r="C123" s="46" t="s">
        <v>108</v>
      </c>
      <c r="D123" s="45" t="s">
        <v>98</v>
      </c>
      <c r="E123" s="36">
        <v>9375</v>
      </c>
    </row>
    <row r="124" spans="1:6">
      <c r="A124" s="47" t="s">
        <v>287</v>
      </c>
      <c r="B124" s="46" t="s">
        <v>288</v>
      </c>
      <c r="C124" s="46" t="s">
        <v>108</v>
      </c>
      <c r="D124" s="45" t="s">
        <v>98</v>
      </c>
      <c r="E124" s="36">
        <v>9375</v>
      </c>
    </row>
    <row r="125" spans="1:6">
      <c r="A125" s="47" t="s">
        <v>289</v>
      </c>
      <c r="B125" s="46" t="s">
        <v>290</v>
      </c>
      <c r="C125" s="46" t="s">
        <v>108</v>
      </c>
      <c r="D125" s="45" t="s">
        <v>98</v>
      </c>
      <c r="E125" s="36">
        <v>10000</v>
      </c>
    </row>
    <row r="126" spans="1:6">
      <c r="A126" s="47" t="s">
        <v>291</v>
      </c>
      <c r="B126" s="46" t="s">
        <v>292</v>
      </c>
      <c r="C126" s="46" t="s">
        <v>108</v>
      </c>
      <c r="D126" s="45" t="s">
        <v>98</v>
      </c>
      <c r="E126" s="36">
        <v>10000</v>
      </c>
      <c r="F126" s="43"/>
    </row>
    <row r="127" spans="1:6">
      <c r="A127" s="47" t="s">
        <v>293</v>
      </c>
      <c r="B127" s="46" t="s">
        <v>294</v>
      </c>
      <c r="C127" s="46" t="s">
        <v>108</v>
      </c>
      <c r="D127" s="45" t="s">
        <v>98</v>
      </c>
      <c r="E127" s="36">
        <v>9750</v>
      </c>
    </row>
    <row r="128" spans="1:6">
      <c r="A128" s="47" t="s">
        <v>295</v>
      </c>
      <c r="B128" s="46" t="s">
        <v>296</v>
      </c>
      <c r="C128" s="46" t="s">
        <v>108</v>
      </c>
      <c r="D128" s="45" t="s">
        <v>98</v>
      </c>
      <c r="E128" s="36">
        <v>7875</v>
      </c>
      <c r="F128" s="15"/>
    </row>
    <row r="129" spans="1:6">
      <c r="A129" s="47" t="s">
        <v>297</v>
      </c>
      <c r="B129" s="46" t="s">
        <v>298</v>
      </c>
      <c r="C129" s="46" t="s">
        <v>108</v>
      </c>
      <c r="D129" s="45" t="s">
        <v>98</v>
      </c>
      <c r="E129" s="36">
        <v>7875</v>
      </c>
      <c r="F129" s="39"/>
    </row>
    <row r="130" spans="1:6">
      <c r="A130" s="47" t="s">
        <v>299</v>
      </c>
      <c r="B130" s="48" t="s">
        <v>300</v>
      </c>
      <c r="C130" s="46" t="s">
        <v>187</v>
      </c>
      <c r="D130" s="45" t="s">
        <v>98</v>
      </c>
      <c r="E130" s="36">
        <v>7500</v>
      </c>
    </row>
    <row r="131" spans="1:6">
      <c r="A131" s="47" t="s">
        <v>301</v>
      </c>
      <c r="B131" s="48" t="s">
        <v>302</v>
      </c>
      <c r="C131" s="46" t="s">
        <v>108</v>
      </c>
      <c r="D131" s="45" t="s">
        <v>98</v>
      </c>
      <c r="E131" s="36">
        <v>7500</v>
      </c>
    </row>
    <row r="132" spans="1:6">
      <c r="A132" s="47" t="s">
        <v>303</v>
      </c>
      <c r="B132" s="48" t="s">
        <v>304</v>
      </c>
      <c r="C132" s="46" t="s">
        <v>108</v>
      </c>
      <c r="D132" s="45" t="s">
        <v>98</v>
      </c>
      <c r="E132" s="36">
        <v>7875</v>
      </c>
    </row>
    <row r="133" spans="1:6">
      <c r="A133" s="47" t="s">
        <v>305</v>
      </c>
      <c r="B133" s="48" t="s">
        <v>306</v>
      </c>
      <c r="C133" s="46" t="s">
        <v>108</v>
      </c>
      <c r="D133" s="45" t="s">
        <v>98</v>
      </c>
      <c r="E133" s="36">
        <v>7875</v>
      </c>
    </row>
    <row r="134" spans="1:6">
      <c r="A134" s="49" t="s">
        <v>307</v>
      </c>
      <c r="B134" s="50" t="s">
        <v>308</v>
      </c>
      <c r="C134" s="50" t="s">
        <v>187</v>
      </c>
      <c r="D134" s="51" t="s">
        <v>98</v>
      </c>
      <c r="E134" s="38">
        <v>8750</v>
      </c>
    </row>
    <row r="135" spans="1:6">
      <c r="A135" s="78" t="s">
        <v>309</v>
      </c>
      <c r="B135" s="48" t="s">
        <v>310</v>
      </c>
      <c r="C135" s="52" t="s">
        <v>311</v>
      </c>
      <c r="D135" s="45" t="s">
        <v>98</v>
      </c>
    </row>
    <row r="136" spans="1:6">
      <c r="A136" s="46" t="s">
        <v>312</v>
      </c>
      <c r="B136" s="48" t="s">
        <v>313</v>
      </c>
      <c r="C136" s="52" t="s">
        <v>314</v>
      </c>
      <c r="D136" s="45" t="s">
        <v>98</v>
      </c>
      <c r="E136" s="36">
        <v>11000</v>
      </c>
    </row>
    <row r="137" spans="1:6">
      <c r="A137" s="46" t="s">
        <v>315</v>
      </c>
      <c r="B137" s="48" t="s">
        <v>316</v>
      </c>
      <c r="C137" s="52" t="s">
        <v>108</v>
      </c>
      <c r="D137" s="45" t="s">
        <v>98</v>
      </c>
      <c r="E137" s="36">
        <v>11000</v>
      </c>
    </row>
    <row r="138" spans="1:6">
      <c r="A138" s="46" t="s">
        <v>317</v>
      </c>
      <c r="B138" s="48" t="s">
        <v>318</v>
      </c>
      <c r="C138" s="52" t="s">
        <v>108</v>
      </c>
      <c r="D138" s="45" t="s">
        <v>98</v>
      </c>
      <c r="E138" s="36">
        <v>11000</v>
      </c>
    </row>
    <row r="139" spans="1:6">
      <c r="A139" s="46" t="s">
        <v>319</v>
      </c>
      <c r="B139" s="48" t="s">
        <v>320</v>
      </c>
      <c r="C139" s="52" t="s">
        <v>108</v>
      </c>
      <c r="D139" s="45" t="s">
        <v>98</v>
      </c>
      <c r="E139" s="36">
        <v>11000</v>
      </c>
    </row>
    <row r="140" spans="1:6" ht="15.95">
      <c r="A140" s="53" t="s">
        <v>321</v>
      </c>
      <c r="B140" s="54" t="s">
        <v>322</v>
      </c>
      <c r="C140" s="54" t="s">
        <v>314</v>
      </c>
      <c r="D140" s="51" t="s">
        <v>98</v>
      </c>
      <c r="E140" s="41">
        <v>10000</v>
      </c>
    </row>
    <row r="141" spans="1:6">
      <c r="A141" s="78" t="s">
        <v>323</v>
      </c>
      <c r="B141" s="61" t="s">
        <v>324</v>
      </c>
      <c r="C141" s="52" t="s">
        <v>108</v>
      </c>
      <c r="D141" s="45" t="s">
        <v>98</v>
      </c>
      <c r="E141" s="36">
        <v>5000</v>
      </c>
    </row>
    <row r="142" spans="1:6">
      <c r="A142" s="78" t="s">
        <v>325</v>
      </c>
      <c r="B142" s="61" t="s">
        <v>326</v>
      </c>
      <c r="C142" s="52" t="s">
        <v>108</v>
      </c>
      <c r="D142" s="45" t="s">
        <v>98</v>
      </c>
      <c r="E142" s="36">
        <v>5000</v>
      </c>
      <c r="F142" s="40"/>
    </row>
    <row r="143" spans="1:6" ht="15.95">
      <c r="A143" s="53" t="s">
        <v>327</v>
      </c>
      <c r="B143" s="54" t="s">
        <v>328</v>
      </c>
      <c r="C143" s="54" t="s">
        <v>108</v>
      </c>
      <c r="D143" s="51" t="s">
        <v>98</v>
      </c>
      <c r="E143" s="41">
        <v>10000</v>
      </c>
    </row>
    <row r="144" spans="1:6" ht="15.95">
      <c r="A144" s="53" t="s">
        <v>329</v>
      </c>
      <c r="B144" s="54" t="s">
        <v>330</v>
      </c>
      <c r="C144" s="54" t="s">
        <v>127</v>
      </c>
      <c r="D144" s="51" t="s">
        <v>113</v>
      </c>
      <c r="E144" s="41">
        <v>9240</v>
      </c>
    </row>
    <row r="145" spans="1:5">
      <c r="A145" s="55" t="s">
        <v>331</v>
      </c>
      <c r="B145" s="56" t="s">
        <v>332</v>
      </c>
      <c r="C145" s="56" t="s">
        <v>314</v>
      </c>
      <c r="D145" s="57" t="s">
        <v>98</v>
      </c>
      <c r="E145" s="42">
        <v>13240</v>
      </c>
    </row>
    <row r="146" spans="1:5">
      <c r="A146" s="78" t="s">
        <v>333</v>
      </c>
      <c r="B146" s="52" t="s">
        <v>334</v>
      </c>
      <c r="C146" s="52" t="s">
        <v>108</v>
      </c>
      <c r="D146" s="45" t="s">
        <v>98</v>
      </c>
    </row>
    <row r="147" spans="1:5">
      <c r="A147" s="78" t="s">
        <v>335</v>
      </c>
      <c r="B147" s="52" t="s">
        <v>336</v>
      </c>
      <c r="C147" s="52" t="s">
        <v>108</v>
      </c>
      <c r="D147" s="45" t="s">
        <v>98</v>
      </c>
    </row>
    <row r="148" spans="1:5">
      <c r="A148" s="78" t="s">
        <v>337</v>
      </c>
      <c r="B148" s="52" t="s">
        <v>338</v>
      </c>
      <c r="C148" s="52" t="s">
        <v>314</v>
      </c>
      <c r="D148" s="45" t="s">
        <v>98</v>
      </c>
    </row>
    <row r="149" spans="1:5">
      <c r="A149" s="78" t="s">
        <v>339</v>
      </c>
      <c r="B149" s="46" t="s">
        <v>340</v>
      </c>
      <c r="C149" s="52" t="s">
        <v>108</v>
      </c>
      <c r="D149" s="45" t="s">
        <v>98</v>
      </c>
    </row>
    <row r="150" spans="1:5">
      <c r="A150" s="78" t="s">
        <v>341</v>
      </c>
      <c r="B150" s="52" t="s">
        <v>342</v>
      </c>
      <c r="C150" s="52" t="s">
        <v>108</v>
      </c>
      <c r="D150" s="45" t="s">
        <v>98</v>
      </c>
    </row>
    <row r="151" spans="1:5">
      <c r="A151" s="78" t="s">
        <v>343</v>
      </c>
      <c r="B151" s="46" t="s">
        <v>344</v>
      </c>
      <c r="C151" s="45">
        <v>1</v>
      </c>
      <c r="D151" s="45" t="s">
        <v>98</v>
      </c>
    </row>
    <row r="152" spans="1:5">
      <c r="A152" s="78" t="s">
        <v>345</v>
      </c>
      <c r="B152" s="46" t="s">
        <v>346</v>
      </c>
      <c r="C152" s="52" t="s">
        <v>127</v>
      </c>
      <c r="D152" s="45" t="s">
        <v>113</v>
      </c>
    </row>
    <row r="153" spans="1:5">
      <c r="A153" s="78" t="s">
        <v>347</v>
      </c>
      <c r="B153" s="58" t="s">
        <v>348</v>
      </c>
      <c r="C153" s="52" t="s">
        <v>314</v>
      </c>
      <c r="D153" s="45" t="s">
        <v>98</v>
      </c>
    </row>
    <row r="154" spans="1:5">
      <c r="A154" s="78" t="s">
        <v>349</v>
      </c>
      <c r="B154" s="46" t="s">
        <v>350</v>
      </c>
      <c r="C154" s="52" t="s">
        <v>108</v>
      </c>
      <c r="D154" s="45" t="s">
        <v>98</v>
      </c>
    </row>
    <row r="155" spans="1:5">
      <c r="A155" s="78" t="s">
        <v>351</v>
      </c>
      <c r="B155" s="46" t="s">
        <v>352</v>
      </c>
      <c r="C155" s="52" t="s">
        <v>108</v>
      </c>
      <c r="D155" s="45" t="s">
        <v>98</v>
      </c>
    </row>
    <row r="156" spans="1:5">
      <c r="A156" s="78" t="s">
        <v>353</v>
      </c>
      <c r="B156" s="46" t="s">
        <v>222</v>
      </c>
      <c r="C156" s="46" t="s">
        <v>108</v>
      </c>
      <c r="D156" s="46" t="s">
        <v>98</v>
      </c>
    </row>
    <row r="157" spans="1:5">
      <c r="A157" s="78" t="s">
        <v>354</v>
      </c>
      <c r="B157" s="46" t="s">
        <v>355</v>
      </c>
      <c r="C157" s="46" t="s">
        <v>108</v>
      </c>
      <c r="D157" s="46" t="s">
        <v>98</v>
      </c>
    </row>
    <row r="158" spans="1:5">
      <c r="A158" s="78" t="s">
        <v>356</v>
      </c>
      <c r="B158" s="46" t="s">
        <v>357</v>
      </c>
      <c r="C158" s="46" t="s">
        <v>108</v>
      </c>
      <c r="D158" s="46" t="s">
        <v>98</v>
      </c>
    </row>
    <row r="159" spans="1:5">
      <c r="A159" s="78" t="s">
        <v>358</v>
      </c>
      <c r="B159" s="46" t="s">
        <v>359</v>
      </c>
      <c r="C159" s="46" t="s">
        <v>108</v>
      </c>
      <c r="D159" s="46" t="s">
        <v>98</v>
      </c>
    </row>
    <row r="160" spans="1:5">
      <c r="A160" s="78" t="s">
        <v>360</v>
      </c>
      <c r="B160" s="46" t="s">
        <v>361</v>
      </c>
      <c r="C160" s="46" t="s">
        <v>108</v>
      </c>
      <c r="D160" s="46" t="s">
        <v>98</v>
      </c>
    </row>
    <row r="161" spans="1:4">
      <c r="A161" s="78" t="s">
        <v>362</v>
      </c>
      <c r="B161" s="46" t="s">
        <v>363</v>
      </c>
      <c r="C161" s="46" t="s">
        <v>108</v>
      </c>
      <c r="D161" s="46" t="s">
        <v>98</v>
      </c>
    </row>
    <row r="162" spans="1:4">
      <c r="A162" s="78" t="s">
        <v>364</v>
      </c>
      <c r="B162" s="46" t="s">
        <v>365</v>
      </c>
      <c r="C162" s="46" t="s">
        <v>366</v>
      </c>
      <c r="D162" s="46" t="s">
        <v>113</v>
      </c>
    </row>
    <row r="163" spans="1:4">
      <c r="A163" s="78" t="s">
        <v>367</v>
      </c>
      <c r="B163" s="46" t="s">
        <v>368</v>
      </c>
      <c r="C163" s="46" t="s">
        <v>369</v>
      </c>
      <c r="D163" s="46" t="s">
        <v>51</v>
      </c>
    </row>
  </sheetData>
  <autoFilter ref="A1:G163" xr:uid="{BA7AFFEE-55E4-5F47-BAD9-2998FCEBC52C}"/>
  <phoneticPr fontId="5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BAD4-2821-40BE-9B7C-90D81A05BD0D}">
  <dimension ref="A1:K71"/>
  <sheetViews>
    <sheetView workbookViewId="0">
      <selection activeCell="C52" sqref="C52"/>
    </sheetView>
  </sheetViews>
  <sheetFormatPr defaultRowHeight="15.75"/>
  <cols>
    <col min="1" max="1" width="4" bestFit="1" customWidth="1"/>
    <col min="2" max="2" width="11.25" bestFit="1" customWidth="1"/>
    <col min="3" max="3" width="69.875" bestFit="1" customWidth="1"/>
    <col min="4" max="4" width="8.5" bestFit="1" customWidth="1"/>
    <col min="5" max="5" width="12.625" bestFit="1" customWidth="1"/>
    <col min="10" max="10" width="51.75" bestFit="1" customWidth="1"/>
  </cols>
  <sheetData>
    <row r="1" spans="1:11">
      <c r="A1" t="s">
        <v>370</v>
      </c>
      <c r="B1" t="s">
        <v>371</v>
      </c>
      <c r="C1" t="s">
        <v>372</v>
      </c>
      <c r="D1" t="s">
        <v>373</v>
      </c>
    </row>
    <row r="2" spans="1:11">
      <c r="A2" s="57">
        <v>1</v>
      </c>
      <c r="B2" s="57" t="s">
        <v>95</v>
      </c>
      <c r="C2" s="57" t="s">
        <v>374</v>
      </c>
      <c r="D2" s="57">
        <v>8000</v>
      </c>
      <c r="I2" s="44"/>
      <c r="J2" s="44"/>
      <c r="K2" s="44"/>
    </row>
    <row r="3" spans="1:11">
      <c r="A3" s="57">
        <v>2</v>
      </c>
      <c r="B3" s="57" t="s">
        <v>99</v>
      </c>
      <c r="C3" s="57" t="s">
        <v>375</v>
      </c>
      <c r="D3" s="57">
        <v>8000</v>
      </c>
      <c r="I3" s="44"/>
      <c r="J3" s="44"/>
      <c r="K3" s="44"/>
    </row>
    <row r="4" spans="1:11">
      <c r="A4" s="57">
        <v>3</v>
      </c>
      <c r="B4" s="57" t="s">
        <v>101</v>
      </c>
      <c r="C4" s="57" t="s">
        <v>376</v>
      </c>
      <c r="D4" s="57">
        <v>8125</v>
      </c>
      <c r="I4" s="44"/>
      <c r="J4" s="44"/>
      <c r="K4" s="44"/>
    </row>
    <row r="5" spans="1:11">
      <c r="A5" s="57">
        <v>4</v>
      </c>
      <c r="B5" s="57" t="s">
        <v>103</v>
      </c>
      <c r="C5" s="57" t="s">
        <v>377</v>
      </c>
      <c r="D5" s="57">
        <v>8125</v>
      </c>
      <c r="I5" s="44"/>
      <c r="J5" s="44"/>
      <c r="K5" s="44"/>
    </row>
    <row r="6" spans="1:11">
      <c r="A6" s="57">
        <v>5</v>
      </c>
      <c r="B6" s="57" t="s">
        <v>106</v>
      </c>
      <c r="C6" s="57" t="s">
        <v>378</v>
      </c>
      <c r="D6" s="57">
        <v>8125</v>
      </c>
      <c r="I6" s="44"/>
      <c r="J6" s="44"/>
      <c r="K6" s="44"/>
    </row>
    <row r="7" spans="1:11">
      <c r="A7" s="57">
        <v>6</v>
      </c>
      <c r="B7" s="57" t="s">
        <v>109</v>
      </c>
      <c r="C7" s="57" t="s">
        <v>379</v>
      </c>
      <c r="D7" s="57">
        <v>8125</v>
      </c>
      <c r="I7" s="44"/>
      <c r="J7" s="44"/>
      <c r="K7" s="44"/>
    </row>
    <row r="8" spans="1:11">
      <c r="A8" s="57">
        <v>7</v>
      </c>
      <c r="B8" s="57" t="s">
        <v>128</v>
      </c>
      <c r="C8" s="57" t="s">
        <v>380</v>
      </c>
      <c r="D8" s="57">
        <v>6875</v>
      </c>
      <c r="I8" s="44"/>
      <c r="J8" s="44"/>
      <c r="K8" s="44"/>
    </row>
    <row r="9" spans="1:11">
      <c r="A9" s="57">
        <v>8</v>
      </c>
      <c r="B9" s="57" t="s">
        <v>130</v>
      </c>
      <c r="C9" s="57" t="s">
        <v>381</v>
      </c>
      <c r="D9" s="57">
        <v>7500</v>
      </c>
    </row>
    <row r="10" spans="1:11">
      <c r="A10" s="57">
        <v>9</v>
      </c>
      <c r="B10" s="57" t="s">
        <v>295</v>
      </c>
      <c r="C10" s="57" t="s">
        <v>382</v>
      </c>
      <c r="D10" s="57">
        <v>7875</v>
      </c>
    </row>
    <row r="11" spans="1:11">
      <c r="A11" s="57">
        <v>10</v>
      </c>
      <c r="B11" s="57" t="s">
        <v>297</v>
      </c>
      <c r="C11" s="57" t="s">
        <v>383</v>
      </c>
      <c r="D11" s="57">
        <v>7875</v>
      </c>
    </row>
    <row r="12" spans="1:11">
      <c r="A12" s="57">
        <v>11</v>
      </c>
      <c r="B12" s="57" t="s">
        <v>299</v>
      </c>
      <c r="C12" s="57" t="s">
        <v>384</v>
      </c>
      <c r="D12" s="57">
        <v>7500</v>
      </c>
    </row>
    <row r="13" spans="1:11">
      <c r="A13" s="57">
        <v>12</v>
      </c>
      <c r="B13" s="57" t="s">
        <v>301</v>
      </c>
      <c r="C13" s="57" t="s">
        <v>385</v>
      </c>
      <c r="D13" s="57">
        <v>7500</v>
      </c>
    </row>
    <row r="14" spans="1:11">
      <c r="A14" s="57">
        <v>13</v>
      </c>
      <c r="B14" s="57" t="s">
        <v>303</v>
      </c>
      <c r="C14" s="57" t="s">
        <v>386</v>
      </c>
      <c r="D14" s="57">
        <v>7875</v>
      </c>
    </row>
    <row r="15" spans="1:11">
      <c r="A15" s="57">
        <v>14</v>
      </c>
      <c r="B15" s="57" t="s">
        <v>305</v>
      </c>
      <c r="C15" s="57" t="s">
        <v>387</v>
      </c>
      <c r="D15" s="57">
        <v>7875</v>
      </c>
    </row>
    <row r="16" spans="1:11">
      <c r="A16" s="57">
        <v>15</v>
      </c>
      <c r="B16" s="57" t="s">
        <v>307</v>
      </c>
      <c r="C16" s="57" t="s">
        <v>388</v>
      </c>
      <c r="D16" s="57">
        <v>8750</v>
      </c>
    </row>
    <row r="17" spans="1:4">
      <c r="A17" s="57">
        <v>16</v>
      </c>
      <c r="B17" s="57" t="s">
        <v>114</v>
      </c>
      <c r="C17" s="57" t="s">
        <v>389</v>
      </c>
      <c r="D17" s="57">
        <v>10625</v>
      </c>
    </row>
    <row r="18" spans="1:4">
      <c r="A18" s="57">
        <v>17</v>
      </c>
      <c r="B18" s="57" t="s">
        <v>116</v>
      </c>
      <c r="C18" s="57" t="s">
        <v>390</v>
      </c>
      <c r="D18" s="57">
        <v>10625</v>
      </c>
    </row>
    <row r="19" spans="1:4">
      <c r="A19" s="57">
        <v>18</v>
      </c>
      <c r="B19" s="57" t="s">
        <v>119</v>
      </c>
      <c r="C19" s="57" t="s">
        <v>391</v>
      </c>
      <c r="D19" s="57">
        <v>8875</v>
      </c>
    </row>
    <row r="20" spans="1:4">
      <c r="A20" s="57">
        <v>19</v>
      </c>
      <c r="B20" s="57" t="s">
        <v>121</v>
      </c>
      <c r="C20" s="57" t="s">
        <v>392</v>
      </c>
      <c r="D20" s="57">
        <v>8875</v>
      </c>
    </row>
    <row r="21" spans="1:4">
      <c r="A21" s="57">
        <v>20</v>
      </c>
      <c r="B21" s="57" t="s">
        <v>285</v>
      </c>
      <c r="C21" s="57" t="s">
        <v>393</v>
      </c>
      <c r="D21" s="57">
        <v>9375</v>
      </c>
    </row>
    <row r="22" spans="1:4">
      <c r="A22" s="57">
        <v>21</v>
      </c>
      <c r="B22" s="57" t="s">
        <v>287</v>
      </c>
      <c r="C22" s="57" t="s">
        <v>394</v>
      </c>
      <c r="D22" s="57">
        <v>9375</v>
      </c>
    </row>
    <row r="23" spans="1:4">
      <c r="A23" s="57">
        <v>22</v>
      </c>
      <c r="B23" s="57" t="s">
        <v>289</v>
      </c>
      <c r="C23" s="57" t="s">
        <v>395</v>
      </c>
      <c r="D23" s="57">
        <v>10000</v>
      </c>
    </row>
    <row r="24" spans="1:4">
      <c r="A24" s="57">
        <v>23</v>
      </c>
      <c r="B24" s="57" t="s">
        <v>293</v>
      </c>
      <c r="C24" s="57" t="s">
        <v>396</v>
      </c>
      <c r="D24" s="57">
        <v>9750</v>
      </c>
    </row>
    <row r="25" spans="1:4">
      <c r="A25" s="57">
        <v>24</v>
      </c>
      <c r="B25" s="57" t="s">
        <v>291</v>
      </c>
      <c r="C25" s="57" t="s">
        <v>397</v>
      </c>
      <c r="D25" s="57">
        <v>10000</v>
      </c>
    </row>
    <row r="26" spans="1:4">
      <c r="A26" s="57">
        <v>25</v>
      </c>
      <c r="B26" s="57" t="s">
        <v>269</v>
      </c>
      <c r="C26" s="57" t="s">
        <v>398</v>
      </c>
      <c r="D26" s="57">
        <v>8700</v>
      </c>
    </row>
    <row r="27" spans="1:4">
      <c r="A27" s="57">
        <v>26</v>
      </c>
      <c r="B27" s="57" t="s">
        <v>271</v>
      </c>
      <c r="C27" s="57" t="s">
        <v>399</v>
      </c>
      <c r="D27" s="57">
        <v>8700</v>
      </c>
    </row>
    <row r="28" spans="1:4">
      <c r="A28" s="57">
        <v>27</v>
      </c>
      <c r="B28" s="57" t="s">
        <v>273</v>
      </c>
      <c r="C28" s="57" t="s">
        <v>400</v>
      </c>
      <c r="D28" s="57">
        <v>8700</v>
      </c>
    </row>
    <row r="29" spans="1:4">
      <c r="A29" s="57">
        <v>28</v>
      </c>
      <c r="B29" s="57" t="s">
        <v>275</v>
      </c>
      <c r="C29" s="57" t="s">
        <v>401</v>
      </c>
      <c r="D29" s="57">
        <v>8700</v>
      </c>
    </row>
    <row r="30" spans="1:4">
      <c r="A30" s="57">
        <v>29</v>
      </c>
      <c r="B30" s="57" t="s">
        <v>277</v>
      </c>
      <c r="C30" s="57" t="s">
        <v>402</v>
      </c>
      <c r="D30" s="57">
        <v>8700</v>
      </c>
    </row>
    <row r="31" spans="1:4">
      <c r="A31" s="57">
        <v>30</v>
      </c>
      <c r="B31" s="57" t="s">
        <v>279</v>
      </c>
      <c r="C31" s="57" t="s">
        <v>403</v>
      </c>
      <c r="D31" s="57">
        <v>8700</v>
      </c>
    </row>
    <row r="32" spans="1:4">
      <c r="A32" s="57">
        <v>31</v>
      </c>
      <c r="B32" s="57" t="s">
        <v>281</v>
      </c>
      <c r="C32" s="57" t="s">
        <v>404</v>
      </c>
      <c r="D32" s="57">
        <v>8700</v>
      </c>
    </row>
    <row r="33" spans="1:4">
      <c r="A33" s="57">
        <v>32</v>
      </c>
      <c r="B33" s="57" t="s">
        <v>111</v>
      </c>
      <c r="C33" s="57" t="s">
        <v>405</v>
      </c>
      <c r="D33" s="57">
        <v>4300</v>
      </c>
    </row>
    <row r="34" spans="1:4">
      <c r="A34" s="57">
        <v>33</v>
      </c>
      <c r="B34" s="57" t="s">
        <v>123</v>
      </c>
      <c r="C34" s="57" t="s">
        <v>406</v>
      </c>
      <c r="D34" s="57">
        <v>4850</v>
      </c>
    </row>
    <row r="35" spans="1:4">
      <c r="A35" s="57">
        <v>34</v>
      </c>
      <c r="B35" s="57" t="s">
        <v>125</v>
      </c>
      <c r="C35" s="57" t="s">
        <v>407</v>
      </c>
      <c r="D35" s="57">
        <v>4850</v>
      </c>
    </row>
    <row r="36" spans="1:4">
      <c r="A36" s="57">
        <v>35</v>
      </c>
      <c r="B36" s="57" t="s">
        <v>283</v>
      </c>
      <c r="C36" s="57" t="s">
        <v>408</v>
      </c>
      <c r="D36" s="57">
        <v>9144</v>
      </c>
    </row>
    <row r="37" spans="1:4">
      <c r="A37" s="57">
        <v>36</v>
      </c>
      <c r="B37" s="57" t="s">
        <v>132</v>
      </c>
      <c r="C37" s="57" t="s">
        <v>409</v>
      </c>
      <c r="D37" s="57">
        <v>4300</v>
      </c>
    </row>
    <row r="38" spans="1:4">
      <c r="A38" s="57">
        <v>37</v>
      </c>
      <c r="B38" s="57" t="s">
        <v>162</v>
      </c>
      <c r="C38" s="57" t="s">
        <v>410</v>
      </c>
      <c r="D38" s="57">
        <v>20250</v>
      </c>
    </row>
    <row r="39" spans="1:4">
      <c r="A39" s="57">
        <v>38</v>
      </c>
      <c r="B39" s="57" t="s">
        <v>173</v>
      </c>
      <c r="C39" s="57" t="s">
        <v>411</v>
      </c>
      <c r="D39" s="57">
        <v>20370</v>
      </c>
    </row>
    <row r="40" spans="1:4">
      <c r="A40" s="57">
        <v>39</v>
      </c>
      <c r="B40" s="57" t="s">
        <v>164</v>
      </c>
      <c r="C40" s="57" t="s">
        <v>412</v>
      </c>
      <c r="D40" s="57">
        <v>22250</v>
      </c>
    </row>
    <row r="41" spans="1:4">
      <c r="A41" s="57">
        <v>40</v>
      </c>
      <c r="B41" s="57" t="s">
        <v>177</v>
      </c>
      <c r="C41" s="57" t="s">
        <v>413</v>
      </c>
      <c r="D41" s="57">
        <v>22500</v>
      </c>
    </row>
    <row r="42" spans="1:4">
      <c r="A42" s="57">
        <v>41</v>
      </c>
      <c r="B42" s="57" t="s">
        <v>166</v>
      </c>
      <c r="C42" s="57" t="s">
        <v>414</v>
      </c>
      <c r="D42" s="57">
        <v>46500</v>
      </c>
    </row>
    <row r="43" spans="1:4">
      <c r="A43" s="57">
        <v>42</v>
      </c>
      <c r="B43" s="57" t="s">
        <v>170</v>
      </c>
      <c r="C43" s="57" t="s">
        <v>415</v>
      </c>
      <c r="D43" s="57">
        <v>45870</v>
      </c>
    </row>
    <row r="44" spans="1:4">
      <c r="A44" s="57">
        <v>43</v>
      </c>
      <c r="B44" s="57" t="s">
        <v>168</v>
      </c>
      <c r="C44" s="57" t="s">
        <v>416</v>
      </c>
      <c r="D44" s="57">
        <v>46250</v>
      </c>
    </row>
    <row r="45" spans="1:4">
      <c r="A45" s="57">
        <v>44</v>
      </c>
      <c r="B45" s="57" t="s">
        <v>175</v>
      </c>
      <c r="C45" s="57" t="s">
        <v>417</v>
      </c>
      <c r="D45" s="57">
        <v>10620</v>
      </c>
    </row>
    <row r="46" spans="1:4">
      <c r="A46" s="57">
        <v>45</v>
      </c>
      <c r="B46" s="57" t="s">
        <v>179</v>
      </c>
      <c r="C46" s="57" t="s">
        <v>418</v>
      </c>
      <c r="D46" s="57">
        <v>12250</v>
      </c>
    </row>
    <row r="47" spans="1:4">
      <c r="A47" s="57">
        <v>46</v>
      </c>
      <c r="B47" s="57" t="s">
        <v>181</v>
      </c>
      <c r="C47" s="57" t="s">
        <v>419</v>
      </c>
      <c r="D47" s="57">
        <v>9500</v>
      </c>
    </row>
    <row r="48" spans="1:4">
      <c r="A48" s="57">
        <v>47</v>
      </c>
      <c r="B48" s="57" t="s">
        <v>183</v>
      </c>
      <c r="C48" s="57" t="s">
        <v>420</v>
      </c>
      <c r="D48" s="57">
        <v>10000</v>
      </c>
    </row>
    <row r="49" spans="1:4">
      <c r="A49" s="57">
        <v>48</v>
      </c>
      <c r="B49" s="57" t="s">
        <v>312</v>
      </c>
      <c r="C49" s="57" t="s">
        <v>421</v>
      </c>
      <c r="D49" s="57">
        <v>11000</v>
      </c>
    </row>
    <row r="50" spans="1:4">
      <c r="A50" s="57">
        <v>49</v>
      </c>
      <c r="B50" s="57" t="s">
        <v>315</v>
      </c>
      <c r="C50" s="57" t="s">
        <v>422</v>
      </c>
      <c r="D50" s="57">
        <v>11000</v>
      </c>
    </row>
    <row r="51" spans="1:4">
      <c r="A51" s="57">
        <v>50</v>
      </c>
      <c r="B51" s="57" t="s">
        <v>317</v>
      </c>
      <c r="C51" s="57" t="s">
        <v>423</v>
      </c>
      <c r="D51" s="57">
        <v>11000</v>
      </c>
    </row>
    <row r="52" spans="1:4">
      <c r="A52" s="57">
        <v>51</v>
      </c>
      <c r="B52" s="57" t="s">
        <v>319</v>
      </c>
      <c r="C52" s="57" t="s">
        <v>424</v>
      </c>
      <c r="D52" s="57">
        <v>11000</v>
      </c>
    </row>
    <row r="53" spans="1:4">
      <c r="A53" s="57">
        <v>52</v>
      </c>
      <c r="B53" s="57" t="s">
        <v>321</v>
      </c>
      <c r="C53" s="57" t="s">
        <v>425</v>
      </c>
      <c r="D53" s="57">
        <v>10000</v>
      </c>
    </row>
    <row r="54" spans="1:4">
      <c r="A54" s="57">
        <v>53</v>
      </c>
      <c r="B54" s="57" t="s">
        <v>327</v>
      </c>
      <c r="C54" s="57" t="s">
        <v>426</v>
      </c>
      <c r="D54" s="57">
        <v>10000</v>
      </c>
    </row>
    <row r="55" spans="1:4">
      <c r="A55" s="57">
        <v>54</v>
      </c>
      <c r="B55" s="57" t="s">
        <v>331</v>
      </c>
      <c r="C55" s="57" t="s">
        <v>427</v>
      </c>
      <c r="D55" s="57">
        <v>13240</v>
      </c>
    </row>
    <row r="56" spans="1:4">
      <c r="A56" s="57">
        <v>55</v>
      </c>
      <c r="B56" s="57" t="s">
        <v>329</v>
      </c>
      <c r="C56" s="57" t="s">
        <v>428</v>
      </c>
      <c r="D56" s="57">
        <v>9240</v>
      </c>
    </row>
    <row r="57" spans="1:4">
      <c r="A57" s="57">
        <v>56</v>
      </c>
      <c r="B57" s="57" t="s">
        <v>232</v>
      </c>
      <c r="C57" s="57" t="s">
        <v>429</v>
      </c>
      <c r="D57" s="57">
        <v>16620</v>
      </c>
    </row>
    <row r="58" spans="1:4">
      <c r="A58" s="57">
        <v>57</v>
      </c>
      <c r="B58" s="57" t="s">
        <v>234</v>
      </c>
      <c r="C58" s="57" t="s">
        <v>430</v>
      </c>
      <c r="D58" s="57">
        <v>16620</v>
      </c>
    </row>
    <row r="59" spans="1:4">
      <c r="A59" s="57">
        <v>58</v>
      </c>
      <c r="B59" s="57" t="s">
        <v>236</v>
      </c>
      <c r="C59" s="57" t="s">
        <v>431</v>
      </c>
      <c r="D59" s="57">
        <v>16740</v>
      </c>
    </row>
    <row r="60" spans="1:4">
      <c r="A60" s="57">
        <v>59</v>
      </c>
      <c r="B60" s="57" t="s">
        <v>188</v>
      </c>
      <c r="C60" s="57" t="s">
        <v>432</v>
      </c>
      <c r="D60" s="57">
        <v>5100</v>
      </c>
    </row>
    <row r="61" spans="1:4">
      <c r="A61" s="57">
        <v>60</v>
      </c>
      <c r="B61" s="57" t="s">
        <v>190</v>
      </c>
      <c r="C61" s="57" t="s">
        <v>433</v>
      </c>
      <c r="D61" s="57">
        <v>24620</v>
      </c>
    </row>
    <row r="62" spans="1:4">
      <c r="A62" s="57">
        <v>61</v>
      </c>
      <c r="B62" s="57" t="s">
        <v>202</v>
      </c>
      <c r="C62" s="57" t="s">
        <v>434</v>
      </c>
      <c r="D62" s="57">
        <v>5100</v>
      </c>
    </row>
    <row r="63" spans="1:4">
      <c r="A63" s="57">
        <v>62</v>
      </c>
      <c r="B63" s="57" t="s">
        <v>193</v>
      </c>
      <c r="C63" s="57" t="s">
        <v>435</v>
      </c>
      <c r="D63" s="57">
        <v>25245</v>
      </c>
    </row>
    <row r="64" spans="1:4">
      <c r="A64" s="57">
        <v>63</v>
      </c>
      <c r="B64" s="57" t="s">
        <v>195</v>
      </c>
      <c r="C64" s="57" t="s">
        <v>436</v>
      </c>
      <c r="D64" s="57">
        <v>25000</v>
      </c>
    </row>
    <row r="65" spans="1:4">
      <c r="A65" s="57">
        <v>64</v>
      </c>
      <c r="B65" s="57" t="s">
        <v>200</v>
      </c>
      <c r="C65" s="57" t="s">
        <v>437</v>
      </c>
      <c r="D65" s="57">
        <v>6600</v>
      </c>
    </row>
    <row r="66" spans="1:4">
      <c r="A66" s="57">
        <v>65</v>
      </c>
      <c r="B66" s="57" t="s">
        <v>204</v>
      </c>
      <c r="C66" s="57" t="s">
        <v>438</v>
      </c>
      <c r="D66" s="57">
        <v>7250</v>
      </c>
    </row>
    <row r="67" spans="1:4">
      <c r="A67" s="57">
        <v>66</v>
      </c>
      <c r="B67" s="57" t="s">
        <v>206</v>
      </c>
      <c r="C67" s="57" t="s">
        <v>439</v>
      </c>
      <c r="D67" s="57">
        <v>5200</v>
      </c>
    </row>
    <row r="68" spans="1:4">
      <c r="A68" s="57">
        <v>67</v>
      </c>
      <c r="B68" s="57" t="s">
        <v>241</v>
      </c>
      <c r="C68" s="57" t="s">
        <v>440</v>
      </c>
      <c r="D68" s="57">
        <v>15500</v>
      </c>
    </row>
    <row r="69" spans="1:4">
      <c r="A69" s="57">
        <v>68</v>
      </c>
      <c r="B69" s="57" t="s">
        <v>239</v>
      </c>
      <c r="C69" s="57" t="s">
        <v>441</v>
      </c>
      <c r="D69" s="57">
        <v>16200</v>
      </c>
    </row>
    <row r="70" spans="1:4">
      <c r="A70" s="57">
        <v>69</v>
      </c>
      <c r="B70" s="57" t="s">
        <v>197</v>
      </c>
      <c r="C70" s="57" t="s">
        <v>442</v>
      </c>
      <c r="D70" s="57">
        <v>15625</v>
      </c>
    </row>
    <row r="71" spans="1:4">
      <c r="A71" s="57">
        <v>70</v>
      </c>
      <c r="B71" s="57" t="s">
        <v>185</v>
      </c>
      <c r="C71" s="57" t="s">
        <v>443</v>
      </c>
      <c r="D71" s="57">
        <v>15625</v>
      </c>
    </row>
  </sheetData>
  <autoFilter ref="A1:E71" xr:uid="{56F2BAD4-2821-40BE-9B7C-90D81A05BD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F81E-E2BB-402C-95B4-ABB1ADC210EB}">
  <dimension ref="A1:E8"/>
  <sheetViews>
    <sheetView tabSelected="1" workbookViewId="0">
      <selection activeCell="D6" sqref="D6"/>
    </sheetView>
  </sheetViews>
  <sheetFormatPr defaultColWidth="33.625" defaultRowHeight="15.75"/>
  <cols>
    <col min="1" max="1" width="5.375" bestFit="1" customWidth="1"/>
    <col min="2" max="2" width="25.375" customWidth="1"/>
    <col min="3" max="3" width="29.375" bestFit="1" customWidth="1"/>
    <col min="4" max="4" width="7.375" customWidth="1"/>
  </cols>
  <sheetData>
    <row r="1" spans="1:5">
      <c r="A1" s="69" t="s">
        <v>444</v>
      </c>
      <c r="B1" s="69" t="s">
        <v>445</v>
      </c>
      <c r="C1" s="69" t="s">
        <v>446</v>
      </c>
      <c r="D1" s="69" t="s">
        <v>447</v>
      </c>
      <c r="E1" t="s">
        <v>448</v>
      </c>
    </row>
    <row r="2" spans="1:5" ht="28.5">
      <c r="A2" s="45">
        <v>1</v>
      </c>
      <c r="B2" s="70" t="s">
        <v>449</v>
      </c>
      <c r="C2" s="70" t="s">
        <v>450</v>
      </c>
      <c r="D2" s="70">
        <v>36300</v>
      </c>
      <c r="E2" t="s">
        <v>451</v>
      </c>
    </row>
    <row r="3" spans="1:5" ht="33.75">
      <c r="A3" s="45">
        <v>2</v>
      </c>
      <c r="B3" s="70" t="s">
        <v>452</v>
      </c>
      <c r="C3" s="71" t="s">
        <v>453</v>
      </c>
      <c r="D3" s="70">
        <v>19850</v>
      </c>
      <c r="E3" t="s">
        <v>454</v>
      </c>
    </row>
    <row r="4" spans="1:5" ht="16.5">
      <c r="A4" s="45">
        <v>3</v>
      </c>
      <c r="B4" s="70" t="s">
        <v>455</v>
      </c>
      <c r="C4" s="71" t="s">
        <v>456</v>
      </c>
      <c r="D4" s="70">
        <v>21810</v>
      </c>
    </row>
    <row r="5" spans="1:5" ht="16.5">
      <c r="A5" s="45">
        <v>4</v>
      </c>
      <c r="B5" s="70" t="s">
        <v>457</v>
      </c>
      <c r="C5" s="71" t="s">
        <v>458</v>
      </c>
      <c r="D5" s="70">
        <v>25000</v>
      </c>
    </row>
    <row r="6" spans="1:5" ht="16.5">
      <c r="A6" s="45">
        <v>5</v>
      </c>
      <c r="B6" s="70" t="s">
        <v>459</v>
      </c>
      <c r="C6" s="71" t="s">
        <v>460</v>
      </c>
      <c r="D6" s="70">
        <v>12000</v>
      </c>
    </row>
    <row r="7" spans="1:5" ht="28.5">
      <c r="A7" s="45">
        <v>6</v>
      </c>
      <c r="B7" s="76" t="s">
        <v>162</v>
      </c>
      <c r="C7" s="70" t="s">
        <v>461</v>
      </c>
      <c r="D7" s="70">
        <v>0</v>
      </c>
      <c r="E7" t="s">
        <v>462</v>
      </c>
    </row>
    <row r="8" spans="1:5" ht="15">
      <c r="A8">
        <v>7</v>
      </c>
      <c r="B8" s="76" t="s">
        <v>463</v>
      </c>
      <c r="C8" t="s">
        <v>464</v>
      </c>
      <c r="D8" s="70">
        <v>12180</v>
      </c>
      <c r="E8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C448-4CFC-43E3-8A4C-DC3F48B7D530}">
  <dimension ref="A1:F103"/>
  <sheetViews>
    <sheetView workbookViewId="0">
      <selection activeCell="G1" sqref="G1"/>
    </sheetView>
  </sheetViews>
  <sheetFormatPr defaultRowHeight="15.75"/>
  <cols>
    <col min="1" max="1" width="9" bestFit="1" customWidth="1"/>
    <col min="2" max="2" width="56.375" bestFit="1" customWidth="1"/>
    <col min="3" max="3" width="6.125" bestFit="1" customWidth="1"/>
    <col min="4" max="5" width="2" bestFit="1" customWidth="1"/>
    <col min="6" max="6" width="23.5" bestFit="1" customWidth="1"/>
  </cols>
  <sheetData>
    <row r="1" spans="1:6">
      <c r="A1" s="64" t="s">
        <v>371</v>
      </c>
      <c r="B1" s="64" t="s">
        <v>372</v>
      </c>
      <c r="C1" s="64" t="s">
        <v>447</v>
      </c>
    </row>
    <row r="2" spans="1:6">
      <c r="A2" s="65" t="s">
        <v>449</v>
      </c>
      <c r="B2" s="70" t="s">
        <v>450</v>
      </c>
      <c r="C2" s="70">
        <v>36300</v>
      </c>
      <c r="F2" t="s">
        <v>466</v>
      </c>
    </row>
    <row r="3" spans="1:6" ht="33.75">
      <c r="A3" s="65" t="s">
        <v>452</v>
      </c>
      <c r="B3" s="71" t="s">
        <v>453</v>
      </c>
      <c r="C3" s="70">
        <v>19850</v>
      </c>
      <c r="F3" t="s">
        <v>467</v>
      </c>
    </row>
    <row r="4" spans="1:6" ht="16.5">
      <c r="A4" s="65" t="s">
        <v>455</v>
      </c>
      <c r="B4" s="71" t="s">
        <v>468</v>
      </c>
      <c r="C4" s="70">
        <f>15810+6000</f>
        <v>21810</v>
      </c>
    </row>
    <row r="5" spans="1:6">
      <c r="A5" s="76" t="s">
        <v>469</v>
      </c>
      <c r="B5" s="70" t="s">
        <v>461</v>
      </c>
      <c r="C5" s="70">
        <v>0</v>
      </c>
    </row>
    <row r="6" spans="1:6" ht="15">
      <c r="A6" s="76" t="s">
        <v>470</v>
      </c>
      <c r="B6" t="s">
        <v>464</v>
      </c>
      <c r="C6" s="70">
        <v>12180</v>
      </c>
    </row>
    <row r="7" spans="1:6" ht="16.5">
      <c r="A7" s="65" t="s">
        <v>457</v>
      </c>
      <c r="B7" s="71" t="s">
        <v>458</v>
      </c>
      <c r="C7" s="70">
        <v>8000</v>
      </c>
    </row>
    <row r="8" spans="1:6" ht="16.5">
      <c r="A8" s="65" t="s">
        <v>459</v>
      </c>
      <c r="B8" s="71" t="s">
        <v>460</v>
      </c>
      <c r="C8" s="70">
        <v>12000</v>
      </c>
    </row>
    <row r="9" spans="1:6">
      <c r="A9" s="65" t="s">
        <v>471</v>
      </c>
      <c r="B9" s="65" t="s">
        <v>472</v>
      </c>
      <c r="C9" s="65">
        <v>1114</v>
      </c>
    </row>
    <row r="10" spans="1:6">
      <c r="A10" s="65" t="s">
        <v>473</v>
      </c>
      <c r="B10" s="65" t="s">
        <v>474</v>
      </c>
      <c r="C10" s="65">
        <v>1120</v>
      </c>
    </row>
    <row r="11" spans="1:6">
      <c r="A11" s="65" t="s">
        <v>475</v>
      </c>
      <c r="B11" s="65" t="s">
        <v>476</v>
      </c>
      <c r="C11" s="65">
        <v>6400</v>
      </c>
    </row>
    <row r="12" spans="1:6">
      <c r="A12" s="65" t="s">
        <v>477</v>
      </c>
      <c r="B12" s="65" t="s">
        <v>478</v>
      </c>
      <c r="C12" s="65">
        <v>1100</v>
      </c>
    </row>
    <row r="13" spans="1:6">
      <c r="A13" s="65" t="s">
        <v>479</v>
      </c>
      <c r="B13" s="65" t="s">
        <v>480</v>
      </c>
      <c r="C13" s="65">
        <v>1035</v>
      </c>
    </row>
    <row r="14" spans="1:6">
      <c r="A14" s="65" t="s">
        <v>481</v>
      </c>
      <c r="B14" s="65" t="s">
        <v>482</v>
      </c>
      <c r="C14" s="65">
        <v>6408</v>
      </c>
    </row>
    <row r="15" spans="1:6">
      <c r="A15" s="65" t="s">
        <v>483</v>
      </c>
      <c r="B15" s="65" t="s">
        <v>484</v>
      </c>
      <c r="C15" s="65">
        <v>9800</v>
      </c>
    </row>
    <row r="16" spans="1:6">
      <c r="A16" s="65" t="s">
        <v>485</v>
      </c>
      <c r="B16" s="65" t="s">
        <v>486</v>
      </c>
      <c r="C16" s="65">
        <v>9932</v>
      </c>
    </row>
    <row r="17" spans="1:3">
      <c r="A17" s="65" t="s">
        <v>487</v>
      </c>
      <c r="B17" s="65" t="s">
        <v>488</v>
      </c>
      <c r="C17" s="65">
        <v>9600</v>
      </c>
    </row>
    <row r="18" spans="1:3">
      <c r="A18" s="65" t="s">
        <v>489</v>
      </c>
      <c r="B18" s="65" t="s">
        <v>490</v>
      </c>
      <c r="C18" s="65">
        <v>9600</v>
      </c>
    </row>
    <row r="19" spans="1:3">
      <c r="A19" s="65" t="s">
        <v>491</v>
      </c>
      <c r="B19" s="65" t="s">
        <v>492</v>
      </c>
      <c r="C19" s="65">
        <v>9900</v>
      </c>
    </row>
    <row r="20" spans="1:3">
      <c r="A20" s="65" t="s">
        <v>493</v>
      </c>
      <c r="B20" s="65" t="s">
        <v>494</v>
      </c>
      <c r="C20" s="65">
        <v>9900</v>
      </c>
    </row>
    <row r="21" spans="1:3">
      <c r="A21" s="65" t="s">
        <v>495</v>
      </c>
      <c r="B21" s="65" t="s">
        <v>496</v>
      </c>
      <c r="C21" s="65">
        <v>12700</v>
      </c>
    </row>
    <row r="22" spans="1:3">
      <c r="A22" s="65" t="s">
        <v>497</v>
      </c>
      <c r="B22" s="65" t="s">
        <v>498</v>
      </c>
      <c r="C22" s="65">
        <v>2468</v>
      </c>
    </row>
    <row r="23" spans="1:3">
      <c r="A23" s="65" t="s">
        <v>499</v>
      </c>
      <c r="B23" s="65" t="s">
        <v>500</v>
      </c>
      <c r="C23" s="65">
        <v>1100</v>
      </c>
    </row>
    <row r="24" spans="1:3">
      <c r="A24" s="65" t="s">
        <v>501</v>
      </c>
      <c r="B24" s="65" t="s">
        <v>502</v>
      </c>
      <c r="C24" s="65">
        <v>1066</v>
      </c>
    </row>
    <row r="25" spans="1:3">
      <c r="A25" s="65" t="s">
        <v>503</v>
      </c>
      <c r="B25" s="65" t="s">
        <v>504</v>
      </c>
      <c r="C25" s="65">
        <v>6305</v>
      </c>
    </row>
    <row r="26" spans="1:3">
      <c r="A26" s="76" t="s">
        <v>505</v>
      </c>
      <c r="B26" s="45" t="s">
        <v>506</v>
      </c>
      <c r="C26" s="45">
        <v>3048</v>
      </c>
    </row>
    <row r="27" spans="1:3">
      <c r="A27" s="76" t="s">
        <v>507</v>
      </c>
      <c r="B27" s="45" t="s">
        <v>508</v>
      </c>
      <c r="C27" s="45">
        <v>3057</v>
      </c>
    </row>
    <row r="28" spans="1:3">
      <c r="A28" s="76" t="s">
        <v>509</v>
      </c>
      <c r="B28" s="45" t="s">
        <v>510</v>
      </c>
      <c r="C28" s="45">
        <v>18441</v>
      </c>
    </row>
    <row r="29" spans="1:3">
      <c r="A29" s="76" t="s">
        <v>511</v>
      </c>
      <c r="B29" s="45" t="s">
        <v>512</v>
      </c>
      <c r="C29" s="45">
        <v>3123</v>
      </c>
    </row>
    <row r="30" spans="1:3">
      <c r="A30" s="76" t="s">
        <v>513</v>
      </c>
      <c r="B30" s="45" t="s">
        <v>514</v>
      </c>
      <c r="C30" s="45">
        <v>3160</v>
      </c>
    </row>
    <row r="31" spans="1:3">
      <c r="A31" s="76" t="s">
        <v>515</v>
      </c>
      <c r="B31" s="45" t="s">
        <v>516</v>
      </c>
      <c r="C31" s="75">
        <v>18850</v>
      </c>
    </row>
    <row r="32" spans="1:3">
      <c r="A32" s="76" t="s">
        <v>517</v>
      </c>
      <c r="B32" s="73" t="s">
        <v>518</v>
      </c>
      <c r="C32" s="45">
        <v>0</v>
      </c>
    </row>
    <row r="33" spans="1:3">
      <c r="A33" s="76" t="s">
        <v>519</v>
      </c>
      <c r="B33" s="73" t="s">
        <v>520</v>
      </c>
      <c r="C33" s="45">
        <v>0</v>
      </c>
    </row>
    <row r="34" spans="1:3">
      <c r="A34" s="76" t="s">
        <v>521</v>
      </c>
      <c r="B34" s="73" t="s">
        <v>522</v>
      </c>
      <c r="C34" s="45">
        <v>0</v>
      </c>
    </row>
    <row r="35" spans="1:3">
      <c r="A35" s="76" t="s">
        <v>523</v>
      </c>
      <c r="B35" s="73" t="s">
        <v>524</v>
      </c>
      <c r="C35" s="45">
        <v>0</v>
      </c>
    </row>
    <row r="36" spans="1:3">
      <c r="A36" s="76" t="s">
        <v>525</v>
      </c>
      <c r="B36" s="73" t="s">
        <v>526</v>
      </c>
      <c r="C36" s="45">
        <v>0</v>
      </c>
    </row>
    <row r="37" spans="1:3">
      <c r="A37" s="76" t="s">
        <v>527</v>
      </c>
      <c r="B37" s="73" t="s">
        <v>528</v>
      </c>
      <c r="C37" s="45">
        <v>0</v>
      </c>
    </row>
    <row r="38" spans="1:3">
      <c r="A38" s="76" t="s">
        <v>529</v>
      </c>
      <c r="B38" s="73" t="s">
        <v>530</v>
      </c>
      <c r="C38" s="45">
        <v>0</v>
      </c>
    </row>
    <row r="39" spans="1:3">
      <c r="A39" s="76" t="s">
        <v>531</v>
      </c>
      <c r="B39" s="73" t="s">
        <v>532</v>
      </c>
      <c r="C39" s="45">
        <v>0</v>
      </c>
    </row>
    <row r="40" spans="1:3">
      <c r="A40" s="76" t="s">
        <v>533</v>
      </c>
      <c r="B40" s="73" t="s">
        <v>534</v>
      </c>
      <c r="C40" s="45">
        <v>0</v>
      </c>
    </row>
    <row r="41" spans="1:3">
      <c r="A41" s="76" t="s">
        <v>535</v>
      </c>
      <c r="B41" s="73" t="s">
        <v>536</v>
      </c>
      <c r="C41" s="45">
        <v>0</v>
      </c>
    </row>
    <row r="42" spans="1:3">
      <c r="A42" s="76" t="s">
        <v>537</v>
      </c>
      <c r="B42" s="73" t="s">
        <v>538</v>
      </c>
      <c r="C42" s="45">
        <v>0</v>
      </c>
    </row>
    <row r="43" spans="1:3">
      <c r="A43" s="76" t="s">
        <v>539</v>
      </c>
      <c r="B43" s="73" t="s">
        <v>540</v>
      </c>
      <c r="C43" s="45">
        <v>0</v>
      </c>
    </row>
    <row r="44" spans="1:3">
      <c r="A44" s="76" t="s">
        <v>541</v>
      </c>
      <c r="B44" s="74" t="s">
        <v>542</v>
      </c>
      <c r="C44" s="45">
        <v>0</v>
      </c>
    </row>
    <row r="45" spans="1:3">
      <c r="A45" s="76" t="s">
        <v>543</v>
      </c>
      <c r="B45" s="74" t="s">
        <v>544</v>
      </c>
      <c r="C45" s="45">
        <v>0</v>
      </c>
    </row>
    <row r="46" spans="1:3">
      <c r="A46" s="76" t="s">
        <v>545</v>
      </c>
      <c r="B46" s="74" t="s">
        <v>546</v>
      </c>
      <c r="C46" s="45">
        <v>0</v>
      </c>
    </row>
    <row r="47" spans="1:3">
      <c r="A47" s="76" t="s">
        <v>547</v>
      </c>
      <c r="B47" s="74" t="s">
        <v>548</v>
      </c>
      <c r="C47" s="45">
        <v>0</v>
      </c>
    </row>
    <row r="48" spans="1:3">
      <c r="A48" s="76" t="s">
        <v>549</v>
      </c>
      <c r="B48" s="74" t="s">
        <v>550</v>
      </c>
      <c r="C48" s="45">
        <v>0</v>
      </c>
    </row>
    <row r="49" spans="1:3">
      <c r="A49" s="76" t="s">
        <v>551</v>
      </c>
      <c r="B49" s="74" t="s">
        <v>552</v>
      </c>
      <c r="C49" s="45">
        <v>0</v>
      </c>
    </row>
    <row r="50" spans="1:3">
      <c r="A50" s="76" t="s">
        <v>553</v>
      </c>
      <c r="B50" s="73" t="s">
        <v>554</v>
      </c>
      <c r="C50" s="45">
        <v>0</v>
      </c>
    </row>
    <row r="51" spans="1:3">
      <c r="A51" s="76" t="s">
        <v>555</v>
      </c>
      <c r="B51" s="73" t="s">
        <v>556</v>
      </c>
      <c r="C51" s="45">
        <v>0</v>
      </c>
    </row>
    <row r="52" spans="1:3">
      <c r="A52" s="76" t="s">
        <v>557</v>
      </c>
      <c r="B52" s="73" t="s">
        <v>558</v>
      </c>
      <c r="C52" s="45">
        <v>0</v>
      </c>
    </row>
    <row r="53" spans="1:3">
      <c r="A53" s="76" t="s">
        <v>559</v>
      </c>
      <c r="B53" s="73" t="s">
        <v>560</v>
      </c>
      <c r="C53" s="45">
        <v>0</v>
      </c>
    </row>
    <row r="54" spans="1:3">
      <c r="A54" s="76" t="s">
        <v>561</v>
      </c>
      <c r="B54" s="73" t="s">
        <v>562</v>
      </c>
      <c r="C54" s="45">
        <v>0</v>
      </c>
    </row>
    <row r="55" spans="1:3">
      <c r="A55" s="76" t="s">
        <v>563</v>
      </c>
      <c r="B55" s="73" t="s">
        <v>564</v>
      </c>
      <c r="C55" s="45">
        <v>0</v>
      </c>
    </row>
    <row r="56" spans="1:3">
      <c r="A56" s="76" t="s">
        <v>565</v>
      </c>
      <c r="B56" s="73" t="s">
        <v>566</v>
      </c>
      <c r="C56" s="45">
        <v>0</v>
      </c>
    </row>
    <row r="57" spans="1:3">
      <c r="A57" s="76" t="s">
        <v>567</v>
      </c>
      <c r="B57" s="73" t="s">
        <v>568</v>
      </c>
      <c r="C57" s="45">
        <v>0</v>
      </c>
    </row>
    <row r="58" spans="1:3">
      <c r="A58" s="76" t="s">
        <v>569</v>
      </c>
      <c r="B58" s="73" t="s">
        <v>570</v>
      </c>
      <c r="C58" s="45">
        <v>0</v>
      </c>
    </row>
    <row r="59" spans="1:3">
      <c r="A59" s="76" t="s">
        <v>571</v>
      </c>
      <c r="B59" s="73" t="s">
        <v>572</v>
      </c>
      <c r="C59" s="45">
        <v>0</v>
      </c>
    </row>
    <row r="60" spans="1:3">
      <c r="A60" s="76" t="s">
        <v>573</v>
      </c>
      <c r="B60" s="73" t="s">
        <v>574</v>
      </c>
      <c r="C60" s="45">
        <v>0</v>
      </c>
    </row>
    <row r="61" spans="1:3">
      <c r="A61" s="76" t="s">
        <v>575</v>
      </c>
      <c r="B61" s="73" t="s">
        <v>576</v>
      </c>
      <c r="C61" s="45">
        <v>0</v>
      </c>
    </row>
    <row r="62" spans="1:3">
      <c r="A62" s="76" t="s">
        <v>577</v>
      </c>
      <c r="B62" s="73" t="s">
        <v>578</v>
      </c>
      <c r="C62" s="45">
        <v>0</v>
      </c>
    </row>
    <row r="63" spans="1:3">
      <c r="A63" s="76" t="s">
        <v>579</v>
      </c>
      <c r="B63" s="73" t="s">
        <v>580</v>
      </c>
      <c r="C63" s="45">
        <v>0</v>
      </c>
    </row>
    <row r="64" spans="1:3">
      <c r="A64" s="76" t="s">
        <v>581</v>
      </c>
      <c r="B64" s="73" t="s">
        <v>582</v>
      </c>
      <c r="C64" s="45">
        <v>0</v>
      </c>
    </row>
    <row r="65" spans="1:3">
      <c r="A65" s="76" t="s">
        <v>583</v>
      </c>
      <c r="B65" s="73" t="s">
        <v>584</v>
      </c>
      <c r="C65" s="45">
        <v>0</v>
      </c>
    </row>
    <row r="66" spans="1:3">
      <c r="A66" s="76" t="s">
        <v>585</v>
      </c>
      <c r="B66" s="73" t="s">
        <v>586</v>
      </c>
      <c r="C66" s="45">
        <v>0</v>
      </c>
    </row>
    <row r="67" spans="1:3">
      <c r="A67" s="76" t="s">
        <v>587</v>
      </c>
      <c r="B67" s="73" t="s">
        <v>588</v>
      </c>
      <c r="C67" s="45">
        <v>0</v>
      </c>
    </row>
    <row r="68" spans="1:3">
      <c r="A68" s="76" t="s">
        <v>589</v>
      </c>
      <c r="B68" s="73" t="s">
        <v>590</v>
      </c>
      <c r="C68" s="45">
        <v>0</v>
      </c>
    </row>
    <row r="69" spans="1:3">
      <c r="A69" s="76" t="s">
        <v>591</v>
      </c>
      <c r="B69" s="73" t="s">
        <v>592</v>
      </c>
      <c r="C69" s="45">
        <v>0</v>
      </c>
    </row>
    <row r="70" spans="1:3">
      <c r="A70" s="76" t="s">
        <v>593</v>
      </c>
      <c r="B70" s="73" t="s">
        <v>594</v>
      </c>
      <c r="C70" s="45">
        <v>0</v>
      </c>
    </row>
    <row r="71" spans="1:3">
      <c r="A71" s="76" t="s">
        <v>595</v>
      </c>
      <c r="B71" s="73" t="s">
        <v>596</v>
      </c>
      <c r="C71" s="45">
        <v>0</v>
      </c>
    </row>
    <row r="72" spans="1:3">
      <c r="A72" s="76" t="s">
        <v>597</v>
      </c>
      <c r="B72" s="73" t="s">
        <v>598</v>
      </c>
      <c r="C72" s="45">
        <v>0</v>
      </c>
    </row>
    <row r="73" spans="1:3">
      <c r="A73" s="76" t="s">
        <v>599</v>
      </c>
      <c r="B73" s="73" t="s">
        <v>600</v>
      </c>
      <c r="C73" s="45">
        <v>0</v>
      </c>
    </row>
    <row r="74" spans="1:3">
      <c r="A74" s="76" t="s">
        <v>601</v>
      </c>
      <c r="B74" s="73" t="s">
        <v>602</v>
      </c>
      <c r="C74" s="45">
        <v>0</v>
      </c>
    </row>
    <row r="75" spans="1:3">
      <c r="A75" s="76" t="s">
        <v>603</v>
      </c>
      <c r="B75" s="73" t="s">
        <v>604</v>
      </c>
      <c r="C75" s="45">
        <v>0</v>
      </c>
    </row>
    <row r="76" spans="1:3">
      <c r="A76" s="76" t="s">
        <v>605</v>
      </c>
      <c r="B76" s="73" t="s">
        <v>606</v>
      </c>
      <c r="C76" s="45">
        <v>0</v>
      </c>
    </row>
    <row r="77" spans="1:3">
      <c r="A77" s="76" t="s">
        <v>607</v>
      </c>
      <c r="B77" s="73" t="s">
        <v>608</v>
      </c>
      <c r="C77" s="45">
        <v>0</v>
      </c>
    </row>
    <row r="78" spans="1:3">
      <c r="A78" s="76" t="s">
        <v>609</v>
      </c>
      <c r="B78" s="73" t="s">
        <v>610</v>
      </c>
      <c r="C78" s="45">
        <v>0</v>
      </c>
    </row>
    <row r="79" spans="1:3">
      <c r="A79" s="76" t="s">
        <v>611</v>
      </c>
      <c r="B79" s="73" t="s">
        <v>612</v>
      </c>
      <c r="C79" s="45">
        <v>0</v>
      </c>
    </row>
    <row r="80" spans="1:3">
      <c r="A80" s="76" t="s">
        <v>613</v>
      </c>
      <c r="B80" s="73" t="s">
        <v>614</v>
      </c>
      <c r="C80" s="45">
        <v>0</v>
      </c>
    </row>
    <row r="81" spans="1:4">
      <c r="A81" s="76" t="s">
        <v>615</v>
      </c>
      <c r="B81" s="73" t="s">
        <v>616</v>
      </c>
      <c r="C81" s="45">
        <v>0</v>
      </c>
    </row>
    <row r="82" spans="1:4">
      <c r="A82" s="76" t="s">
        <v>617</v>
      </c>
      <c r="B82" s="73" t="s">
        <v>618</v>
      </c>
      <c r="C82" s="45">
        <v>0</v>
      </c>
    </row>
    <row r="83" spans="1:4">
      <c r="A83" s="76" t="s">
        <v>619</v>
      </c>
      <c r="B83" s="73" t="s">
        <v>620</v>
      </c>
      <c r="C83" s="45">
        <v>0</v>
      </c>
    </row>
    <row r="84" spans="1:4">
      <c r="A84" s="76" t="s">
        <v>621</v>
      </c>
      <c r="B84" s="73" t="s">
        <v>622</v>
      </c>
      <c r="C84" s="45">
        <v>0</v>
      </c>
    </row>
    <row r="85" spans="1:4">
      <c r="A85" s="76" t="s">
        <v>623</v>
      </c>
      <c r="B85" s="73" t="s">
        <v>624</v>
      </c>
      <c r="C85" s="45">
        <v>0</v>
      </c>
    </row>
    <row r="86" spans="1:4">
      <c r="A86" s="76" t="s">
        <v>625</v>
      </c>
      <c r="B86" s="73" t="s">
        <v>626</v>
      </c>
      <c r="C86" s="45">
        <v>0</v>
      </c>
    </row>
    <row r="87" spans="1:4">
      <c r="A87" s="76" t="s">
        <v>627</v>
      </c>
      <c r="B87" s="73" t="s">
        <v>628</v>
      </c>
      <c r="C87" s="45">
        <v>0</v>
      </c>
    </row>
    <row r="88" spans="1:4">
      <c r="A88" s="76" t="s">
        <v>629</v>
      </c>
      <c r="B88" s="73" t="s">
        <v>630</v>
      </c>
      <c r="C88" s="45">
        <v>0</v>
      </c>
    </row>
    <row r="89" spans="1:4">
      <c r="A89" s="76" t="s">
        <v>631</v>
      </c>
      <c r="B89" s="73" t="s">
        <v>632</v>
      </c>
      <c r="C89" s="45">
        <v>0</v>
      </c>
    </row>
    <row r="90" spans="1:4">
      <c r="A90" s="76" t="s">
        <v>633</v>
      </c>
      <c r="B90" s="73" t="s">
        <v>634</v>
      </c>
      <c r="C90" s="45">
        <v>0</v>
      </c>
    </row>
    <row r="91" spans="1:4">
      <c r="A91" s="76" t="s">
        <v>635</v>
      </c>
      <c r="B91" s="73" t="s">
        <v>636</v>
      </c>
      <c r="C91" s="45">
        <v>0</v>
      </c>
    </row>
    <row r="92" spans="1:4">
      <c r="A92" s="76" t="s">
        <v>637</v>
      </c>
      <c r="B92" s="73" t="s">
        <v>638</v>
      </c>
      <c r="C92" s="45">
        <v>0</v>
      </c>
    </row>
    <row r="93" spans="1:4">
      <c r="A93" s="76" t="s">
        <v>639</v>
      </c>
      <c r="B93" s="73" t="s">
        <v>640</v>
      </c>
      <c r="C93" s="45">
        <v>0</v>
      </c>
      <c r="D93" s="45">
        <v>0</v>
      </c>
    </row>
    <row r="94" spans="1:4">
      <c r="A94" s="76" t="s">
        <v>641</v>
      </c>
      <c r="B94" s="73" t="s">
        <v>642</v>
      </c>
      <c r="C94" s="45"/>
    </row>
    <row r="95" spans="1:4">
      <c r="A95" s="76" t="s">
        <v>643</v>
      </c>
      <c r="B95" s="73" t="s">
        <v>644</v>
      </c>
      <c r="C95" s="45">
        <v>0</v>
      </c>
    </row>
    <row r="96" spans="1:4">
      <c r="A96" s="76" t="s">
        <v>645</v>
      </c>
      <c r="B96" s="73" t="s">
        <v>646</v>
      </c>
      <c r="C96" s="45">
        <v>0</v>
      </c>
    </row>
    <row r="97" spans="1:3">
      <c r="A97" s="76" t="s">
        <v>647</v>
      </c>
      <c r="B97" s="73" t="s">
        <v>648</v>
      </c>
      <c r="C97" s="45">
        <v>0</v>
      </c>
    </row>
    <row r="98" spans="1:3">
      <c r="A98" s="76" t="s">
        <v>649</v>
      </c>
      <c r="B98" s="73" t="s">
        <v>650</v>
      </c>
      <c r="C98" s="45">
        <v>0</v>
      </c>
    </row>
    <row r="99" spans="1:3">
      <c r="A99" s="76" t="s">
        <v>651</v>
      </c>
      <c r="B99" s="73" t="s">
        <v>652</v>
      </c>
      <c r="C99" s="45">
        <v>0</v>
      </c>
    </row>
    <row r="100" spans="1:3">
      <c r="A100" s="76" t="s">
        <v>653</v>
      </c>
      <c r="B100" s="73" t="s">
        <v>654</v>
      </c>
      <c r="C100" s="45">
        <v>0</v>
      </c>
    </row>
    <row r="101" spans="1:3">
      <c r="A101" s="76" t="s">
        <v>655</v>
      </c>
      <c r="B101" s="73" t="s">
        <v>656</v>
      </c>
      <c r="C101" s="45">
        <v>0</v>
      </c>
    </row>
    <row r="102" spans="1:3">
      <c r="A102" s="76" t="s">
        <v>657</v>
      </c>
      <c r="B102" s="73" t="s">
        <v>658</v>
      </c>
      <c r="C102" s="45">
        <v>0</v>
      </c>
    </row>
    <row r="103" spans="1:3">
      <c r="A103" s="76" t="s">
        <v>659</v>
      </c>
      <c r="B103" s="73" t="s">
        <v>660</v>
      </c>
      <c r="C103" s="45"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2DA5-9E87-084F-AF56-0F8DE9B4D95D}">
  <dimension ref="A1:D9"/>
  <sheetViews>
    <sheetView zoomScale="150" workbookViewId="0">
      <selection activeCell="B7" sqref="B7:B8"/>
    </sheetView>
  </sheetViews>
  <sheetFormatPr defaultColWidth="10.625" defaultRowHeight="15.95"/>
  <cols>
    <col min="2" max="2" width="33" customWidth="1"/>
    <col min="3" max="3" width="19.625" customWidth="1"/>
  </cols>
  <sheetData>
    <row r="1" spans="1:4">
      <c r="C1" t="s">
        <v>661</v>
      </c>
      <c r="D1" t="s">
        <v>662</v>
      </c>
    </row>
    <row r="2" spans="1:4">
      <c r="A2" s="16" t="s">
        <v>663</v>
      </c>
      <c r="B2" s="17" t="s">
        <v>664</v>
      </c>
      <c r="C2" s="17">
        <f>D2*1000</f>
        <v>499000</v>
      </c>
      <c r="D2" s="18">
        <v>499</v>
      </c>
    </row>
    <row r="3" spans="1:4">
      <c r="A3" s="16" t="s">
        <v>665</v>
      </c>
      <c r="B3" s="17" t="s">
        <v>666</v>
      </c>
      <c r="C3" s="17">
        <f t="shared" ref="C3:C8" si="0">D3*1000</f>
        <v>999000</v>
      </c>
      <c r="D3" s="18">
        <v>999</v>
      </c>
    </row>
    <row r="4" spans="1:4">
      <c r="A4" s="16" t="s">
        <v>667</v>
      </c>
      <c r="B4" s="17" t="s">
        <v>668</v>
      </c>
      <c r="C4" s="17">
        <f t="shared" si="0"/>
        <v>1996000</v>
      </c>
      <c r="D4" s="18">
        <v>1996</v>
      </c>
    </row>
    <row r="5" spans="1:4">
      <c r="A5" s="16" t="s">
        <v>669</v>
      </c>
      <c r="B5" s="17" t="s">
        <v>670</v>
      </c>
      <c r="C5" s="17">
        <f t="shared" si="0"/>
        <v>674000</v>
      </c>
      <c r="D5" s="18">
        <f>799-125</f>
        <v>674</v>
      </c>
    </row>
    <row r="6" spans="1:4">
      <c r="A6" s="16" t="s">
        <v>671</v>
      </c>
      <c r="B6" s="17" t="s">
        <v>672</v>
      </c>
      <c r="C6" s="17">
        <f t="shared" si="0"/>
        <v>374000</v>
      </c>
      <c r="D6" s="18">
        <f>499-125</f>
        <v>374</v>
      </c>
    </row>
    <row r="7" spans="1:4">
      <c r="A7" s="16" t="s">
        <v>673</v>
      </c>
      <c r="B7" s="17" t="s">
        <v>674</v>
      </c>
      <c r="C7" s="17">
        <f t="shared" si="0"/>
        <v>691000</v>
      </c>
      <c r="D7" s="18">
        <f>799-108</f>
        <v>691</v>
      </c>
    </row>
    <row r="8" spans="1:4">
      <c r="A8" s="16" t="s">
        <v>675</v>
      </c>
      <c r="B8" s="17" t="s">
        <v>676</v>
      </c>
      <c r="C8" s="17">
        <f t="shared" si="0"/>
        <v>387000</v>
      </c>
      <c r="D8" s="18">
        <f>399-12</f>
        <v>387</v>
      </c>
    </row>
    <row r="9" spans="1:4">
      <c r="B9" s="19" t="s">
        <v>677</v>
      </c>
      <c r="C9" s="19"/>
      <c r="D9" s="20">
        <v>38800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AD1B-1BD7-0849-8EB9-7E74A3A9AF6E}">
  <dimension ref="A1:F22"/>
  <sheetViews>
    <sheetView zoomScale="110" zoomScaleNormal="110" workbookViewId="0">
      <selection activeCell="H11" sqref="H11"/>
    </sheetView>
  </sheetViews>
  <sheetFormatPr defaultColWidth="10.625" defaultRowHeight="15.95"/>
  <cols>
    <col min="1" max="1" width="7.375" customWidth="1"/>
    <col min="2" max="2" width="7" customWidth="1"/>
    <col min="3" max="3" width="33" customWidth="1"/>
    <col min="4" max="4" width="7.875" customWidth="1"/>
    <col min="5" max="5" width="6.875" customWidth="1"/>
    <col min="6" max="6" width="7.125" customWidth="1"/>
  </cols>
  <sheetData>
    <row r="1" spans="1:6">
      <c r="B1" s="81" t="s">
        <v>678</v>
      </c>
      <c r="C1" s="81"/>
      <c r="D1" s="81"/>
      <c r="E1" s="81"/>
      <c r="F1" s="2" t="s">
        <v>679</v>
      </c>
    </row>
    <row r="2" spans="1:6">
      <c r="A2" s="2" t="s">
        <v>680</v>
      </c>
      <c r="B2" s="2" t="s">
        <v>681</v>
      </c>
      <c r="C2" s="2" t="s">
        <v>1</v>
      </c>
      <c r="D2" s="2" t="s">
        <v>682</v>
      </c>
      <c r="E2" s="10" t="s">
        <v>683</v>
      </c>
      <c r="F2" s="12">
        <v>1</v>
      </c>
    </row>
    <row r="3" spans="1:6">
      <c r="A3" s="4" t="e">
        <f>'Prd Code'!#REF!</f>
        <v>#REF!</v>
      </c>
      <c r="B3" s="3">
        <v>1</v>
      </c>
      <c r="C3" s="3" t="s">
        <v>96</v>
      </c>
      <c r="D3" s="8" t="s">
        <v>217</v>
      </c>
      <c r="E3" s="11">
        <v>6</v>
      </c>
      <c r="F3" s="4">
        <f>E3*$F$2</f>
        <v>6</v>
      </c>
    </row>
    <row r="4" spans="1:6">
      <c r="A4" s="4" t="e">
        <f>'Prd Code'!#REF!</f>
        <v>#REF!</v>
      </c>
      <c r="B4" s="3">
        <v>2</v>
      </c>
      <c r="C4" s="3" t="s">
        <v>100</v>
      </c>
      <c r="D4" s="8" t="s">
        <v>217</v>
      </c>
      <c r="E4" s="11">
        <v>6</v>
      </c>
      <c r="F4" s="4">
        <f t="shared" ref="F4:F22" si="0">E4*$F$2</f>
        <v>6</v>
      </c>
    </row>
    <row r="5" spans="1:6">
      <c r="A5" s="4" t="e">
        <f>'Prd Code'!#REF!</f>
        <v>#REF!</v>
      </c>
      <c r="B5" s="3" t="s">
        <v>684</v>
      </c>
      <c r="C5" s="3" t="s">
        <v>685</v>
      </c>
      <c r="D5" s="8" t="s">
        <v>686</v>
      </c>
      <c r="E5" s="11">
        <v>6</v>
      </c>
      <c r="F5" s="4">
        <f t="shared" si="0"/>
        <v>6</v>
      </c>
    </row>
    <row r="6" spans="1:6">
      <c r="A6" s="4" t="e">
        <f>'Prd Code'!#REF!</f>
        <v>#REF!</v>
      </c>
      <c r="B6" s="3" t="s">
        <v>687</v>
      </c>
      <c r="C6" s="3" t="s">
        <v>104</v>
      </c>
      <c r="D6" s="8" t="s">
        <v>139</v>
      </c>
      <c r="E6" s="11">
        <v>6</v>
      </c>
      <c r="F6" s="4">
        <f t="shared" si="0"/>
        <v>6</v>
      </c>
    </row>
    <row r="7" spans="1:6">
      <c r="A7" s="4" t="e">
        <f>'Prd Code'!#REF!</f>
        <v>#REF!</v>
      </c>
      <c r="B7" s="3">
        <v>4</v>
      </c>
      <c r="C7" s="3" t="s">
        <v>107</v>
      </c>
      <c r="D7" s="8" t="s">
        <v>142</v>
      </c>
      <c r="E7" s="11">
        <v>6</v>
      </c>
      <c r="F7" s="4">
        <f t="shared" si="0"/>
        <v>6</v>
      </c>
    </row>
    <row r="8" spans="1:6">
      <c r="A8" s="4" t="str">
        <f>'Prd Code'!A6</f>
        <v>PM-00705</v>
      </c>
      <c r="B8" s="3">
        <v>5</v>
      </c>
      <c r="C8" s="3" t="s">
        <v>18</v>
      </c>
      <c r="D8" s="8" t="s">
        <v>50</v>
      </c>
      <c r="E8" s="11">
        <v>6</v>
      </c>
      <c r="F8" s="4">
        <v>3000</v>
      </c>
    </row>
    <row r="9" spans="1:6">
      <c r="A9" s="4" t="str">
        <f>'Prd Code'!A7</f>
        <v>PM-00706</v>
      </c>
      <c r="B9" s="3">
        <v>6</v>
      </c>
      <c r="C9" s="3" t="s">
        <v>688</v>
      </c>
      <c r="D9" s="8" t="s">
        <v>50</v>
      </c>
      <c r="E9" s="11">
        <v>6</v>
      </c>
      <c r="F9" s="4">
        <f t="shared" si="0"/>
        <v>6</v>
      </c>
    </row>
    <row r="10" spans="1:6">
      <c r="A10" s="4" t="e">
        <f>'Prd Code'!#REF!</f>
        <v>#REF!</v>
      </c>
      <c r="B10" s="3">
        <v>7</v>
      </c>
      <c r="C10" s="3" t="s">
        <v>110</v>
      </c>
      <c r="D10" s="8" t="s">
        <v>69</v>
      </c>
      <c r="E10" s="11">
        <v>6</v>
      </c>
      <c r="F10" s="4">
        <f t="shared" si="0"/>
        <v>6</v>
      </c>
    </row>
    <row r="11" spans="1:6">
      <c r="A11" s="4" t="str">
        <f>'Prd Code'!A44</f>
        <v>PM-00413</v>
      </c>
      <c r="B11" s="3">
        <v>8</v>
      </c>
      <c r="C11" s="3" t="s">
        <v>112</v>
      </c>
      <c r="D11" s="8">
        <v>1</v>
      </c>
      <c r="E11" s="11">
        <v>6</v>
      </c>
      <c r="F11" s="4">
        <f t="shared" si="0"/>
        <v>6</v>
      </c>
    </row>
    <row r="12" spans="1:6">
      <c r="A12" s="4" t="str">
        <f>'Prd Code'!A3</f>
        <v>PM-00702</v>
      </c>
      <c r="B12" s="3">
        <v>9</v>
      </c>
      <c r="C12" s="3" t="s">
        <v>12</v>
      </c>
      <c r="D12" s="8">
        <v>1</v>
      </c>
      <c r="E12" s="11">
        <v>6</v>
      </c>
      <c r="F12" s="4">
        <f t="shared" si="0"/>
        <v>6</v>
      </c>
    </row>
    <row r="13" spans="1:6">
      <c r="A13" s="4" t="str">
        <f>'Prd Code'!A8</f>
        <v>PM-00707</v>
      </c>
      <c r="B13" s="3">
        <v>10</v>
      </c>
      <c r="C13" s="3" t="s">
        <v>24</v>
      </c>
      <c r="D13" s="8" t="s">
        <v>689</v>
      </c>
      <c r="E13" s="11">
        <v>6</v>
      </c>
      <c r="F13" s="4">
        <f t="shared" si="0"/>
        <v>6</v>
      </c>
    </row>
    <row r="14" spans="1:6">
      <c r="A14" s="4" t="str">
        <f>'Prd Code'!A29</f>
        <v>PM-00728</v>
      </c>
      <c r="B14" s="80" t="s">
        <v>690</v>
      </c>
      <c r="C14" s="3" t="s">
        <v>691</v>
      </c>
      <c r="D14" s="8" t="s">
        <v>217</v>
      </c>
      <c r="E14" s="11">
        <v>1</v>
      </c>
      <c r="F14" s="4">
        <f t="shared" si="0"/>
        <v>1</v>
      </c>
    </row>
    <row r="15" spans="1:6">
      <c r="A15" s="4" t="str">
        <f>'Prd Code'!A31</f>
        <v>PM-00730</v>
      </c>
      <c r="B15" s="80"/>
      <c r="C15" s="3" t="s">
        <v>75</v>
      </c>
      <c r="D15" s="8">
        <v>1</v>
      </c>
      <c r="E15" s="11">
        <v>1</v>
      </c>
      <c r="F15" s="4">
        <f t="shared" si="0"/>
        <v>1</v>
      </c>
    </row>
    <row r="16" spans="1:6">
      <c r="A16" s="4" t="str">
        <f>'Prd Code'!A32</f>
        <v>PM-00731</v>
      </c>
      <c r="B16" s="80"/>
      <c r="C16" s="3" t="s">
        <v>692</v>
      </c>
      <c r="D16" s="8">
        <v>1</v>
      </c>
      <c r="E16" s="11">
        <v>1</v>
      </c>
      <c r="F16" s="4">
        <f t="shared" si="0"/>
        <v>1</v>
      </c>
    </row>
    <row r="17" spans="1:6">
      <c r="A17" s="4" t="str">
        <f>'Prd Code'!A33</f>
        <v>PM-00732</v>
      </c>
      <c r="B17" s="80"/>
      <c r="C17" s="3" t="s">
        <v>81</v>
      </c>
      <c r="D17" s="8">
        <v>1</v>
      </c>
      <c r="E17" s="11">
        <v>1</v>
      </c>
      <c r="F17" s="4">
        <f t="shared" si="0"/>
        <v>1</v>
      </c>
    </row>
    <row r="18" spans="1:6">
      <c r="A18" s="4" t="str">
        <f>'Prd Code'!A34</f>
        <v>PM-00733</v>
      </c>
      <c r="B18" s="80"/>
      <c r="C18" s="3" t="s">
        <v>84</v>
      </c>
      <c r="D18" s="8">
        <v>1</v>
      </c>
      <c r="E18" s="11">
        <v>6</v>
      </c>
      <c r="F18" s="4">
        <f t="shared" si="0"/>
        <v>6</v>
      </c>
    </row>
    <row r="19" spans="1:6">
      <c r="A19" s="4" t="str">
        <f>'Prd Code'!A30</f>
        <v>PM-00729</v>
      </c>
      <c r="B19" s="80" t="s">
        <v>693</v>
      </c>
      <c r="C19" s="3" t="s">
        <v>73</v>
      </c>
      <c r="D19" s="8">
        <v>1</v>
      </c>
      <c r="E19" s="11">
        <v>6</v>
      </c>
      <c r="F19" s="4">
        <f t="shared" si="0"/>
        <v>6</v>
      </c>
    </row>
    <row r="20" spans="1:6">
      <c r="A20" s="4" t="str">
        <f>'Prd Code'!A14</f>
        <v>PM-00713</v>
      </c>
      <c r="B20" s="80"/>
      <c r="C20" s="3" t="s">
        <v>694</v>
      </c>
      <c r="D20" s="8">
        <v>1</v>
      </c>
      <c r="E20" s="11">
        <v>6</v>
      </c>
      <c r="F20" s="4">
        <f t="shared" si="0"/>
        <v>6</v>
      </c>
    </row>
    <row r="21" spans="1:6">
      <c r="A21" s="4" t="str">
        <f>'Prd Code'!A11</f>
        <v>PM-00710</v>
      </c>
      <c r="B21" s="80"/>
      <c r="C21" s="3" t="s">
        <v>695</v>
      </c>
      <c r="D21" s="8">
        <v>1</v>
      </c>
      <c r="E21" s="11">
        <v>6</v>
      </c>
      <c r="F21" s="4">
        <f t="shared" si="0"/>
        <v>6</v>
      </c>
    </row>
    <row r="22" spans="1:6">
      <c r="A22" s="4" t="str">
        <f>'Prd Code'!A8</f>
        <v>PM-00707</v>
      </c>
      <c r="B22" s="80"/>
      <c r="C22" s="3" t="s">
        <v>24</v>
      </c>
      <c r="D22" s="8">
        <v>1</v>
      </c>
      <c r="E22" s="11">
        <v>6</v>
      </c>
      <c r="F22" s="4">
        <f t="shared" si="0"/>
        <v>6</v>
      </c>
    </row>
  </sheetData>
  <mergeCells count="3">
    <mergeCell ref="B14:B18"/>
    <mergeCell ref="B19:B22"/>
    <mergeCell ref="B1:E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B993-93C6-CA47-B9E9-07257564375B}">
  <dimension ref="A1:F22"/>
  <sheetViews>
    <sheetView topLeftCell="A10" zoomScale="136" workbookViewId="0">
      <selection activeCell="H8" sqref="H8"/>
    </sheetView>
  </sheetViews>
  <sheetFormatPr defaultColWidth="10.625" defaultRowHeight="15.95"/>
  <cols>
    <col min="1" max="1" width="9.375" customWidth="1"/>
    <col min="2" max="2" width="9.125" customWidth="1"/>
    <col min="3" max="3" width="29.625" customWidth="1"/>
    <col min="5" max="5" width="9.375" customWidth="1"/>
  </cols>
  <sheetData>
    <row r="1" spans="1:6" ht="21">
      <c r="B1" s="85" t="s">
        <v>696</v>
      </c>
      <c r="C1" s="85"/>
      <c r="D1" s="85"/>
      <c r="E1" s="85"/>
      <c r="F1" s="2" t="s">
        <v>679</v>
      </c>
    </row>
    <row r="2" spans="1:6" ht="21">
      <c r="A2" s="2" t="s">
        <v>680</v>
      </c>
      <c r="B2" s="5" t="s">
        <v>697</v>
      </c>
      <c r="C2" s="5" t="s">
        <v>1</v>
      </c>
      <c r="D2" s="5" t="s">
        <v>682</v>
      </c>
      <c r="E2" s="5" t="s">
        <v>683</v>
      </c>
      <c r="F2" s="9">
        <v>1</v>
      </c>
    </row>
    <row r="3" spans="1:6" ht="21">
      <c r="A3" s="13" t="e">
        <f>'Prd Code'!#REF!</f>
        <v>#REF!</v>
      </c>
      <c r="B3" s="6">
        <v>1</v>
      </c>
      <c r="C3" s="6" t="s">
        <v>115</v>
      </c>
      <c r="D3" s="6" t="s">
        <v>217</v>
      </c>
      <c r="E3" s="6">
        <v>6</v>
      </c>
      <c r="F3">
        <f>E3*$F$2</f>
        <v>6</v>
      </c>
    </row>
    <row r="4" spans="1:6" ht="21">
      <c r="A4" s="13" t="e">
        <f>'Prd Code'!#REF!</f>
        <v>#REF!</v>
      </c>
      <c r="B4" s="6">
        <v>2</v>
      </c>
      <c r="C4" s="6" t="s">
        <v>117</v>
      </c>
      <c r="D4" s="6" t="s">
        <v>217</v>
      </c>
      <c r="E4" s="6">
        <v>6</v>
      </c>
      <c r="F4">
        <f t="shared" ref="F4:F22" si="0">E4*$F$2</f>
        <v>6</v>
      </c>
    </row>
    <row r="5" spans="1:6" ht="21">
      <c r="A5" s="13" t="e">
        <f>'Prd Code'!#REF!</f>
        <v>#REF!</v>
      </c>
      <c r="B5" s="6">
        <v>3</v>
      </c>
      <c r="C5" s="6" t="s">
        <v>120</v>
      </c>
      <c r="D5" s="6" t="s">
        <v>142</v>
      </c>
      <c r="E5" s="6">
        <v>6</v>
      </c>
      <c r="F5">
        <f t="shared" si="0"/>
        <v>6</v>
      </c>
    </row>
    <row r="6" spans="1:6" ht="21">
      <c r="A6" s="13" t="str">
        <f>'Prd Code'!A7</f>
        <v>PM-00706</v>
      </c>
      <c r="B6" s="6">
        <v>4</v>
      </c>
      <c r="C6" s="6" t="s">
        <v>698</v>
      </c>
      <c r="D6" s="6" t="s">
        <v>699</v>
      </c>
      <c r="E6" s="6">
        <v>6</v>
      </c>
      <c r="F6">
        <f t="shared" si="0"/>
        <v>6</v>
      </c>
    </row>
    <row r="7" spans="1:6" ht="21">
      <c r="A7" s="13" t="str">
        <f>'Prd Code'!A6</f>
        <v>PM-00705</v>
      </c>
      <c r="B7" s="6">
        <v>5</v>
      </c>
      <c r="C7" s="6" t="s">
        <v>700</v>
      </c>
      <c r="D7" s="6" t="s">
        <v>29</v>
      </c>
      <c r="E7" s="6">
        <v>6</v>
      </c>
      <c r="F7">
        <f t="shared" si="0"/>
        <v>6</v>
      </c>
    </row>
    <row r="8" spans="1:6" ht="21">
      <c r="A8" s="13" t="e">
        <f>'Prd Code'!#REF!</f>
        <v>#REF!</v>
      </c>
      <c r="B8" s="6">
        <v>6</v>
      </c>
      <c r="C8" s="6" t="s">
        <v>122</v>
      </c>
      <c r="D8" s="6" t="s">
        <v>142</v>
      </c>
      <c r="E8" s="6">
        <v>6</v>
      </c>
      <c r="F8">
        <f t="shared" si="0"/>
        <v>6</v>
      </c>
    </row>
    <row r="9" spans="1:6" ht="21">
      <c r="A9" s="13" t="str">
        <f>'Prd Code'!A49</f>
        <v>PM-00414</v>
      </c>
      <c r="B9" s="6" t="s">
        <v>701</v>
      </c>
      <c r="C9" s="6" t="s">
        <v>702</v>
      </c>
      <c r="D9" s="6">
        <v>1</v>
      </c>
      <c r="E9" s="6">
        <v>6</v>
      </c>
      <c r="F9">
        <f t="shared" si="0"/>
        <v>6</v>
      </c>
    </row>
    <row r="10" spans="1:6" ht="21">
      <c r="A10" s="13" t="str">
        <f>'Prd Code'!A28</f>
        <v>PM-00727</v>
      </c>
      <c r="B10" s="6" t="s">
        <v>703</v>
      </c>
      <c r="C10" s="6" t="s">
        <v>68</v>
      </c>
      <c r="D10" s="6" t="s">
        <v>69</v>
      </c>
      <c r="E10" s="6">
        <v>6</v>
      </c>
      <c r="F10">
        <f t="shared" si="0"/>
        <v>6</v>
      </c>
    </row>
    <row r="11" spans="1:6" ht="21">
      <c r="A11" s="13" t="e">
        <f>'Prd Code'!#REF!</f>
        <v>#REF!</v>
      </c>
      <c r="B11" s="6">
        <v>8</v>
      </c>
      <c r="C11" s="6" t="s">
        <v>126</v>
      </c>
      <c r="D11" s="6" t="s">
        <v>704</v>
      </c>
      <c r="E11" s="6">
        <v>6</v>
      </c>
      <c r="F11">
        <f t="shared" si="0"/>
        <v>6</v>
      </c>
    </row>
    <row r="12" spans="1:6" ht="21">
      <c r="A12" s="13" t="str">
        <f>'Prd Code'!A4</f>
        <v>PM-00703</v>
      </c>
      <c r="B12" s="6">
        <v>9</v>
      </c>
      <c r="C12" s="6" t="s">
        <v>14</v>
      </c>
      <c r="D12" s="6">
        <v>1</v>
      </c>
      <c r="E12" s="6">
        <v>6</v>
      </c>
      <c r="F12">
        <f t="shared" si="0"/>
        <v>6</v>
      </c>
    </row>
    <row r="13" spans="1:6" ht="21">
      <c r="A13" s="13" t="str">
        <f>'Prd Code'!A8</f>
        <v>PM-00707</v>
      </c>
      <c r="B13" s="6">
        <v>10</v>
      </c>
      <c r="C13" s="6" t="s">
        <v>705</v>
      </c>
      <c r="D13" s="6" t="s">
        <v>50</v>
      </c>
      <c r="E13" s="6">
        <v>6</v>
      </c>
      <c r="F13">
        <f t="shared" si="0"/>
        <v>6</v>
      </c>
    </row>
    <row r="14" spans="1:6" ht="21">
      <c r="A14" s="13" t="str">
        <f>'Prd Code'!A29</f>
        <v>PM-00728</v>
      </c>
      <c r="B14" s="82" t="s">
        <v>690</v>
      </c>
      <c r="C14" s="6" t="s">
        <v>691</v>
      </c>
      <c r="D14" s="6" t="s">
        <v>217</v>
      </c>
      <c r="E14" s="6">
        <v>1</v>
      </c>
      <c r="F14">
        <f t="shared" si="0"/>
        <v>1</v>
      </c>
    </row>
    <row r="15" spans="1:6" ht="21">
      <c r="A15" s="13" t="str">
        <f>'Prd Code'!A31</f>
        <v>PM-00730</v>
      </c>
      <c r="B15" s="83"/>
      <c r="C15" s="6" t="s">
        <v>75</v>
      </c>
      <c r="D15" s="6">
        <v>1</v>
      </c>
      <c r="E15" s="6">
        <v>1</v>
      </c>
      <c r="F15">
        <f t="shared" si="0"/>
        <v>1</v>
      </c>
    </row>
    <row r="16" spans="1:6" ht="21">
      <c r="A16" s="13" t="str">
        <f>'Prd Code'!A32</f>
        <v>PM-00731</v>
      </c>
      <c r="B16" s="83"/>
      <c r="C16" s="6" t="s">
        <v>706</v>
      </c>
      <c r="D16" s="6">
        <v>1</v>
      </c>
      <c r="E16" s="6">
        <v>1</v>
      </c>
      <c r="F16">
        <f t="shared" si="0"/>
        <v>1</v>
      </c>
    </row>
    <row r="17" spans="1:6" ht="21">
      <c r="A17" s="13" t="str">
        <f>'Prd Code'!A33</f>
        <v>PM-00732</v>
      </c>
      <c r="B17" s="83"/>
      <c r="C17" s="6" t="s">
        <v>81</v>
      </c>
      <c r="D17" s="6">
        <v>1</v>
      </c>
      <c r="E17" s="6">
        <v>1</v>
      </c>
      <c r="F17">
        <f t="shared" si="0"/>
        <v>1</v>
      </c>
    </row>
    <row r="18" spans="1:6" ht="21">
      <c r="A18" s="13" t="str">
        <f>'Prd Code'!A34</f>
        <v>PM-00733</v>
      </c>
      <c r="B18" s="84"/>
      <c r="C18" s="6" t="s">
        <v>84</v>
      </c>
      <c r="D18" s="6">
        <v>1</v>
      </c>
      <c r="E18" s="6">
        <v>6</v>
      </c>
      <c r="F18">
        <f t="shared" si="0"/>
        <v>6</v>
      </c>
    </row>
    <row r="19" spans="1:6" ht="21">
      <c r="A19" s="13" t="str">
        <f>'Prd Code'!A30</f>
        <v>PM-00729</v>
      </c>
      <c r="B19" s="82" t="s">
        <v>707</v>
      </c>
      <c r="C19" s="6" t="s">
        <v>73</v>
      </c>
      <c r="D19" s="6">
        <v>1</v>
      </c>
      <c r="E19" s="6">
        <v>6</v>
      </c>
      <c r="F19">
        <f t="shared" si="0"/>
        <v>6</v>
      </c>
    </row>
    <row r="20" spans="1:6" ht="21">
      <c r="A20" s="13" t="str">
        <f>'Prd Code'!A15</f>
        <v>PM-00714</v>
      </c>
      <c r="B20" s="83"/>
      <c r="C20" s="6" t="s">
        <v>708</v>
      </c>
      <c r="D20" s="6">
        <v>1</v>
      </c>
      <c r="E20" s="6">
        <v>6</v>
      </c>
      <c r="F20">
        <f t="shared" si="0"/>
        <v>6</v>
      </c>
    </row>
    <row r="21" spans="1:6" ht="21">
      <c r="A21" s="13" t="str">
        <f>'Prd Code'!A11</f>
        <v>PM-00710</v>
      </c>
      <c r="B21" s="83"/>
      <c r="C21" s="7" t="s">
        <v>695</v>
      </c>
      <c r="D21" s="6">
        <v>1</v>
      </c>
      <c r="E21" s="6">
        <v>6</v>
      </c>
      <c r="F21">
        <f t="shared" si="0"/>
        <v>6</v>
      </c>
    </row>
    <row r="22" spans="1:6" ht="21">
      <c r="A22" s="13" t="str">
        <f>'Prd Code'!A9</f>
        <v>PM-00708</v>
      </c>
      <c r="B22" s="84"/>
      <c r="C22" s="7" t="s">
        <v>709</v>
      </c>
      <c r="D22" s="6">
        <v>1</v>
      </c>
      <c r="E22" s="6">
        <v>6</v>
      </c>
      <c r="F22">
        <f t="shared" si="0"/>
        <v>6</v>
      </c>
    </row>
  </sheetData>
  <mergeCells count="3">
    <mergeCell ref="B14:B18"/>
    <mergeCell ref="B19:B22"/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0F6B-12FC-E747-86BA-B9A84400C40D}">
  <dimension ref="A1:F19"/>
  <sheetViews>
    <sheetView zoomScale="150" workbookViewId="0">
      <selection activeCell="F3" sqref="F3"/>
    </sheetView>
  </sheetViews>
  <sheetFormatPr defaultColWidth="10.625" defaultRowHeight="15.95"/>
  <cols>
    <col min="3" max="3" width="37.125" bestFit="1" customWidth="1"/>
    <col min="4" max="4" width="8" customWidth="1"/>
  </cols>
  <sheetData>
    <row r="1" spans="1:6" ht="21">
      <c r="B1" s="85" t="s">
        <v>696</v>
      </c>
      <c r="C1" s="85"/>
      <c r="D1" s="85"/>
      <c r="E1" s="85"/>
      <c r="F1" s="2" t="s">
        <v>679</v>
      </c>
    </row>
    <row r="2" spans="1:6" ht="21">
      <c r="A2" s="2" t="s">
        <v>680</v>
      </c>
      <c r="B2" s="5" t="s">
        <v>697</v>
      </c>
      <c r="C2" s="5" t="s">
        <v>1</v>
      </c>
      <c r="D2" s="5" t="s">
        <v>682</v>
      </c>
      <c r="E2" s="5" t="s">
        <v>683</v>
      </c>
      <c r="F2" s="9">
        <v>1</v>
      </c>
    </row>
    <row r="3" spans="1:6">
      <c r="A3" t="str">
        <f>'Prd Code'!A17</f>
        <v>PM-00716</v>
      </c>
      <c r="B3" s="1">
        <v>1</v>
      </c>
      <c r="C3" s="1" t="s">
        <v>710</v>
      </c>
      <c r="D3" s="3" t="s">
        <v>711</v>
      </c>
      <c r="E3" s="3">
        <v>6</v>
      </c>
      <c r="F3">
        <f>E3*$F$2</f>
        <v>6</v>
      </c>
    </row>
    <row r="4" spans="1:6">
      <c r="A4" t="e">
        <f>'Prd Code'!#REF!</f>
        <v>#REF!</v>
      </c>
      <c r="B4" s="1">
        <v>2</v>
      </c>
      <c r="C4" s="1" t="s">
        <v>120</v>
      </c>
      <c r="D4" s="3" t="s">
        <v>142</v>
      </c>
      <c r="E4" s="3">
        <v>6</v>
      </c>
      <c r="F4">
        <f t="shared" ref="F4:F19" si="0">E4*$F$2</f>
        <v>6</v>
      </c>
    </row>
    <row r="5" spans="1:6">
      <c r="A5" t="str">
        <f>'Prd Code'!A6</f>
        <v>PM-00705</v>
      </c>
      <c r="B5" s="1">
        <v>3</v>
      </c>
      <c r="C5" s="1" t="s">
        <v>700</v>
      </c>
      <c r="D5" s="3" t="s">
        <v>699</v>
      </c>
      <c r="E5" s="3">
        <v>6</v>
      </c>
      <c r="F5">
        <f t="shared" si="0"/>
        <v>6</v>
      </c>
    </row>
    <row r="6" spans="1:6">
      <c r="A6" t="str">
        <f>'Prd Code'!A7</f>
        <v>PM-00706</v>
      </c>
      <c r="B6" s="1">
        <v>4</v>
      </c>
      <c r="C6" s="1" t="s">
        <v>698</v>
      </c>
      <c r="D6" s="3" t="s">
        <v>29</v>
      </c>
      <c r="E6" s="3">
        <v>6</v>
      </c>
      <c r="F6">
        <f t="shared" si="0"/>
        <v>6</v>
      </c>
    </row>
    <row r="7" spans="1:6">
      <c r="A7" t="e">
        <f>'Prd Code'!#REF!</f>
        <v>#REF!</v>
      </c>
      <c r="B7" s="1">
        <v>5</v>
      </c>
      <c r="C7" s="1" t="s">
        <v>131</v>
      </c>
      <c r="D7" s="3" t="s">
        <v>142</v>
      </c>
      <c r="E7" s="3">
        <v>6</v>
      </c>
      <c r="F7">
        <f t="shared" si="0"/>
        <v>6</v>
      </c>
    </row>
    <row r="8" spans="1:6">
      <c r="A8" t="str">
        <f>'Prd Code'!A53</f>
        <v>PM-00417</v>
      </c>
      <c r="B8" s="1">
        <v>6</v>
      </c>
      <c r="C8" s="1" t="s">
        <v>133</v>
      </c>
      <c r="D8" s="3" t="s">
        <v>704</v>
      </c>
      <c r="E8" s="3">
        <v>6</v>
      </c>
      <c r="F8">
        <f t="shared" si="0"/>
        <v>6</v>
      </c>
    </row>
    <row r="9" spans="1:6">
      <c r="A9" t="str">
        <f>'Prd Code'!A2</f>
        <v>PM-00701</v>
      </c>
      <c r="B9" s="1">
        <v>7</v>
      </c>
      <c r="C9" s="1" t="s">
        <v>712</v>
      </c>
      <c r="D9" s="3">
        <v>1</v>
      </c>
      <c r="E9" s="3">
        <v>6</v>
      </c>
      <c r="F9">
        <f t="shared" si="0"/>
        <v>6</v>
      </c>
    </row>
    <row r="10" spans="1:6">
      <c r="A10" t="str">
        <f>'Prd Code'!A9</f>
        <v>PM-00708</v>
      </c>
      <c r="B10" s="1">
        <v>8</v>
      </c>
      <c r="C10" s="1" t="s">
        <v>709</v>
      </c>
      <c r="D10" s="3" t="s">
        <v>50</v>
      </c>
      <c r="E10" s="3">
        <v>6</v>
      </c>
      <c r="F10">
        <f t="shared" si="0"/>
        <v>6</v>
      </c>
    </row>
    <row r="11" spans="1:6">
      <c r="A11" t="str">
        <f>'Prd Code'!A29</f>
        <v>PM-00728</v>
      </c>
      <c r="B11" s="86" t="s">
        <v>690</v>
      </c>
      <c r="C11" s="1" t="s">
        <v>691</v>
      </c>
      <c r="D11" s="3" t="s">
        <v>217</v>
      </c>
      <c r="E11" s="3">
        <v>1</v>
      </c>
      <c r="F11">
        <f t="shared" si="0"/>
        <v>1</v>
      </c>
    </row>
    <row r="12" spans="1:6">
      <c r="A12" t="str">
        <f>'Prd Code'!A31</f>
        <v>PM-00730</v>
      </c>
      <c r="B12" s="86"/>
      <c r="C12" s="1" t="s">
        <v>75</v>
      </c>
      <c r="D12" s="3">
        <v>1</v>
      </c>
      <c r="E12" s="3">
        <v>1</v>
      </c>
      <c r="F12">
        <f t="shared" si="0"/>
        <v>1</v>
      </c>
    </row>
    <row r="13" spans="1:6">
      <c r="A13" t="str">
        <f>'Prd Code'!A32</f>
        <v>PM-00731</v>
      </c>
      <c r="B13" s="86"/>
      <c r="C13" s="1" t="s">
        <v>706</v>
      </c>
      <c r="D13" s="3">
        <v>1</v>
      </c>
      <c r="E13" s="3">
        <v>1</v>
      </c>
      <c r="F13">
        <f t="shared" si="0"/>
        <v>1</v>
      </c>
    </row>
    <row r="14" spans="1:6">
      <c r="A14" t="str">
        <f>'Prd Code'!A33</f>
        <v>PM-00732</v>
      </c>
      <c r="B14" s="86"/>
      <c r="C14" s="1" t="s">
        <v>81</v>
      </c>
      <c r="D14" s="3">
        <v>1</v>
      </c>
      <c r="E14" s="3">
        <v>1</v>
      </c>
      <c r="F14">
        <f t="shared" si="0"/>
        <v>1</v>
      </c>
    </row>
    <row r="15" spans="1:6">
      <c r="A15" t="str">
        <f>'Prd Code'!A34</f>
        <v>PM-00733</v>
      </c>
      <c r="B15" s="86"/>
      <c r="C15" s="1" t="s">
        <v>84</v>
      </c>
      <c r="D15" s="3">
        <v>1</v>
      </c>
      <c r="E15" s="3">
        <v>6</v>
      </c>
      <c r="F15">
        <f t="shared" si="0"/>
        <v>6</v>
      </c>
    </row>
    <row r="16" spans="1:6">
      <c r="A16" t="str">
        <f>'Prd Code'!A30</f>
        <v>PM-00729</v>
      </c>
      <c r="B16" s="86" t="s">
        <v>693</v>
      </c>
      <c r="C16" s="1" t="s">
        <v>73</v>
      </c>
      <c r="D16" s="3">
        <v>1</v>
      </c>
      <c r="E16" s="3">
        <v>6</v>
      </c>
      <c r="F16">
        <f t="shared" si="0"/>
        <v>6</v>
      </c>
    </row>
    <row r="17" spans="1:6">
      <c r="A17" t="str">
        <f>'Prd Code'!A16</f>
        <v>PM-00715</v>
      </c>
      <c r="B17" s="86"/>
      <c r="C17" s="1" t="s">
        <v>713</v>
      </c>
      <c r="D17" s="3">
        <v>1</v>
      </c>
      <c r="E17" s="3">
        <v>6</v>
      </c>
      <c r="F17">
        <f t="shared" si="0"/>
        <v>6</v>
      </c>
    </row>
    <row r="18" spans="1:6">
      <c r="A18" t="str">
        <f>'Prd Code'!A10</f>
        <v>PM-00709</v>
      </c>
      <c r="B18" s="86"/>
      <c r="C18" s="1" t="s">
        <v>714</v>
      </c>
      <c r="D18" s="3">
        <v>1</v>
      </c>
      <c r="E18" s="3">
        <v>6</v>
      </c>
      <c r="F18">
        <f t="shared" si="0"/>
        <v>6</v>
      </c>
    </row>
    <row r="19" spans="1:6">
      <c r="A19" t="str">
        <f>'Prd Code'!A8</f>
        <v>PM-00707</v>
      </c>
      <c r="B19" s="86"/>
      <c r="C19" s="1" t="s">
        <v>24</v>
      </c>
      <c r="D19" s="3">
        <v>1</v>
      </c>
      <c r="E19" s="3">
        <v>6</v>
      </c>
      <c r="F19">
        <f t="shared" si="0"/>
        <v>6</v>
      </c>
    </row>
  </sheetData>
  <mergeCells count="3">
    <mergeCell ref="B16:B19"/>
    <mergeCell ref="B11:B15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Manisha Chopra</dc:creator>
  <cp:keywords/>
  <dc:description/>
  <cp:lastModifiedBy/>
  <cp:revision/>
  <dcterms:created xsi:type="dcterms:W3CDTF">2026-08-12T06:02:29Z</dcterms:created>
  <dcterms:modified xsi:type="dcterms:W3CDTF">2026-09-11T12:48:44Z</dcterms:modified>
  <cp:category/>
  <cp:contentStatus/>
</cp:coreProperties>
</file>